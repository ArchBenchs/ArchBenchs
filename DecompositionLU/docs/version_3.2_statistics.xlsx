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60934757-5DBF-423F-8AEB-8B05DDB7DCF7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Графики" sheetId="1" r:id="rId1"/>
    <sheet name="Таблица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60" i="1"/>
  <c r="D55" i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D69" i="1"/>
  <c r="C69" i="1"/>
  <c r="E67" i="1"/>
  <c r="D67" i="1"/>
  <c r="C67" i="1"/>
  <c r="E66" i="1"/>
  <c r="E64" i="1"/>
  <c r="D64" i="1"/>
  <c r="C64" i="1"/>
  <c r="E63" i="1"/>
  <c r="D73" i="1"/>
  <c r="C55" i="1"/>
  <c r="E54" i="1"/>
  <c r="E68" i="1" s="1"/>
  <c r="D54" i="1"/>
  <c r="D68" i="1" s="1"/>
  <c r="C54" i="1"/>
  <c r="C68" i="1" s="1"/>
  <c r="E53" i="1"/>
  <c r="D53" i="1"/>
  <c r="C53" i="1"/>
  <c r="E52" i="1"/>
  <c r="D52" i="1"/>
  <c r="D66" i="1" s="1"/>
  <c r="C52" i="1"/>
  <c r="C66" i="1" s="1"/>
  <c r="E51" i="1"/>
  <c r="E65" i="1" s="1"/>
  <c r="D51" i="1"/>
  <c r="D65" i="1" s="1"/>
  <c r="C51" i="1"/>
  <c r="C65" i="1" s="1"/>
  <c r="E50" i="1"/>
  <c r="D50" i="1"/>
  <c r="C50" i="1"/>
  <c r="E49" i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<sst xmlns="http://schemas.openxmlformats.org/spreadsheetml/2006/main" count="78" uniqueCount="32">
  <si>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</si>
  <si>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</si>
  <si>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</si>
  <si>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</si>
  <si>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</si>
  <si>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</si>
  <si>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</si>
  <si>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</si>
  <si>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</si>
  <si>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</si>
  <si>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</si>
  <si>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</si>
  <si>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</si>
  <si>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</si>
  <si>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</si>
  <si>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</si>
  <si>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</si>
  <si>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</si>
  <si>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</si>
  <si>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</si>
  <si>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</si>
  <si>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</si>
  <si>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</si>
  <si>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</si>
  <si>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</si>
  <si>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</si>
  <si>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</si>
  <si>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</si>
  <si>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</si>
  <si>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размер блока:</t>
  </si>
  <si>
    <t>n</t>
  </si>
  <si>
    <t>ЭТО КАК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</si>
</sst>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b/>
      <u/>
      <sz val="16"/>
      <color theme="0"/>
      <name val="GOST Common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41829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142216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2.0095200000000002</c:v>
                </c:pt>
                <c:pt idx="2">
                  <c:v>3.9292699999999998</c:v>
                </c:pt>
                <c:pt idx="3">
                  <c:v>5.5913500000000003</c:v>
                </c:pt>
                <c:pt idx="4">
                  <c:v>7.2440899999999999</c:v>
                </c:pt>
                <c:pt idx="5">
                  <c:v>8.63171</c:v>
                </c:pt>
                <c:pt idx="6">
                  <c:v>10.00113</c:v>
                </c:pt>
                <c:pt idx="7">
                  <c:v>10.73166</c:v>
                </c:pt>
                <c:pt idx="8">
                  <c:v>11.84442</c:v>
                </c:pt>
                <c:pt idx="9">
                  <c:v>12.52894</c:v>
                </c:pt>
                <c:pt idx="10">
                  <c:v>13.066520000000001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1.97288</c:v>
                </c:pt>
                <c:pt idx="2">
                  <c:v>3.7758600000000002</c:v>
                </c:pt>
                <c:pt idx="3">
                  <c:v>5.3716499999999998</c:v>
                </c:pt>
                <c:pt idx="4">
                  <c:v>6.6819499999999996</c:v>
                </c:pt>
                <c:pt idx="5">
                  <c:v>7.7864899999999997</c:v>
                </c:pt>
                <c:pt idx="6">
                  <c:v>9.1449499999999997</c:v>
                </c:pt>
                <c:pt idx="7">
                  <c:v>9.7390000000000008</c:v>
                </c:pt>
                <c:pt idx="8">
                  <c:v>10.538930000000001</c:v>
                </c:pt>
                <c:pt idx="9">
                  <c:v>11.277699999999999</c:v>
                </c:pt>
                <c:pt idx="10">
                  <c:v>11.76956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0.98301000000000005</c:v>
                </c:pt>
                <c:pt idx="2">
                  <c:v>0.94271000000000005</c:v>
                </c:pt>
                <c:pt idx="3">
                  <c:v>0.86068999999999996</c:v>
                </c:pt>
                <c:pt idx="4">
                  <c:v>0.82228000000000001</c:v>
                </c:pt>
                <c:pt idx="5">
                  <c:v>0.78900000000000003</c:v>
                </c:pt>
                <c:pt idx="6">
                  <c:v>0.75746000000000002</c:v>
                </c:pt>
                <c:pt idx="7">
                  <c:v>0.69882999999999995</c:v>
                </c:pt>
                <c:pt idx="8">
                  <c:v>0.63815999999999995</c:v>
                </c:pt>
                <c:pt idx="9">
                  <c:v>0.60150000000000003</c:v>
                </c:pt>
                <c:pt idx="10">
                  <c:v>0.56169000000000002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0.98643999999999998</c:v>
                </c:pt>
                <c:pt idx="2">
                  <c:v>0.94396999999999998</c:v>
                </c:pt>
                <c:pt idx="3">
                  <c:v>0.89527999999999996</c:v>
                </c:pt>
                <c:pt idx="4">
                  <c:v>0.83523999999999998</c:v>
                </c:pt>
                <c:pt idx="5">
                  <c:v>0.77864999999999995</c:v>
                </c:pt>
                <c:pt idx="6">
                  <c:v>0.76207999999999998</c:v>
                </c:pt>
                <c:pt idx="7">
                  <c:v>0.69564000000000004</c:v>
                </c:pt>
                <c:pt idx="8">
                  <c:v>0.65868000000000004</c:v>
                </c:pt>
                <c:pt idx="9">
                  <c:v>0.62653999999999999</c:v>
                </c:pt>
                <c:pt idx="10">
                  <c:v>0.58848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1.0047600000000001</c:v>
                </c:pt>
                <c:pt idx="2">
                  <c:v>0.98231999999999997</c:v>
                </c:pt>
                <c:pt idx="3">
                  <c:v>0.93189</c:v>
                </c:pt>
                <c:pt idx="4">
                  <c:v>0.90551000000000004</c:v>
                </c:pt>
                <c:pt idx="5">
                  <c:v>0.86316999999999999</c:v>
                </c:pt>
                <c:pt idx="6">
                  <c:v>0.83343</c:v>
                </c:pt>
                <c:pt idx="7">
                  <c:v>0.76654999999999995</c:v>
                </c:pt>
                <c:pt idx="8">
                  <c:v>0.74028000000000005</c:v>
                </c:pt>
                <c:pt idx="9">
                  <c:v>0.69604999999999995</c:v>
                </c:pt>
                <c:pt idx="10">
                  <c:v>0.65332999999999997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1.9660200000000001</c:v>
                </c:pt>
                <c:pt idx="2">
                  <c:v>3.7708499999999998</c:v>
                </c:pt>
                <c:pt idx="3">
                  <c:v>5.16411</c:v>
                </c:pt>
                <c:pt idx="4">
                  <c:v>6.5782400000000001</c:v>
                </c:pt>
                <c:pt idx="5">
                  <c:v>7.8900300000000003</c:v>
                </c:pt>
                <c:pt idx="6">
                  <c:v>9.0895299999999999</c:v>
                </c:pt>
                <c:pt idx="7">
                  <c:v>9.7836400000000001</c:v>
                </c:pt>
                <c:pt idx="8">
                  <c:v>10.21063</c:v>
                </c:pt>
                <c:pt idx="9">
                  <c:v>10.82696</c:v>
                </c:pt>
                <c:pt idx="10">
                  <c:v>11.23382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5381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abSelected="1" topLeftCell="C76" zoomScaleNormal="100" workbookViewId="0">
      <selection activeCell="E96" sqref="E9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4" t="s">
        <v>1</v>
      </c>
      <c r="P1" s="45"/>
      <c r="Q1" s="45"/>
      <c r="R1" s="45"/>
      <c r="S1" s="45"/>
      <c r="T1" s="46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39" t="s">
        <v>2</v>
      </c>
      <c r="B2" s="47" t="s">
        <v>3</v>
      </c>
      <c r="C2" s="48"/>
      <c r="D2" s="48"/>
      <c r="E2" s="4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39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39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39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39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39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39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39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39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39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39"/>
      <c r="B12" s="47" t="s">
        <v>8</v>
      </c>
      <c r="C12" s="48"/>
      <c r="D12" s="48"/>
      <c r="E12" s="4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39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39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39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39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39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39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39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39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39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39"/>
      <c r="B22" s="47" t="s">
        <v>9</v>
      </c>
      <c r="C22" s="48"/>
      <c r="D22" s="48"/>
      <c r="E22" s="49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39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39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39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39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39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39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39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39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39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39"/>
      <c r="B32" s="9" t="s">
        <v>10</v>
      </c>
      <c r="C32" s="50" t="s">
        <v>11</v>
      </c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2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36" t="s">
        <v>12</v>
      </c>
      <c r="B33" s="38" t="s">
        <v>3</v>
      </c>
      <c r="C33" s="38"/>
      <c r="D33" s="38"/>
      <c r="E33" s="3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37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37"/>
      <c r="B35" s="4">
        <v>1</v>
      </c>
      <c r="C35" s="6">
        <v>5381</v>
      </c>
      <c r="D35" s="6">
        <v>41829</v>
      </c>
      <c r="E35" s="6">
        <v>142216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37"/>
      <c r="B36" s="4">
        <v>2</v>
      </c>
      <c r="C36" s="6">
        <v>2737</v>
      </c>
      <c r="D36" s="6">
        <v>21202</v>
      </c>
      <c r="E36" s="6">
        <v>70771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37"/>
      <c r="B37" s="4">
        <v>4</v>
      </c>
      <c r="C37" s="6">
        <v>1427</v>
      </c>
      <c r="D37" s="6">
        <v>11078</v>
      </c>
      <c r="E37" s="6">
        <v>36194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37"/>
      <c r="B38" s="4">
        <v>6</v>
      </c>
      <c r="C38" s="6">
        <v>1042</v>
      </c>
      <c r="D38" s="6">
        <v>7787</v>
      </c>
      <c r="E38" s="6">
        <v>25435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37"/>
      <c r="B39" s="4">
        <v>8</v>
      </c>
      <c r="C39" s="5">
        <v>818</v>
      </c>
      <c r="D39" s="6">
        <v>6260</v>
      </c>
      <c r="E39" s="6">
        <v>19632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37"/>
      <c r="B40" s="4">
        <v>10</v>
      </c>
      <c r="C40" s="5">
        <v>682</v>
      </c>
      <c r="D40" s="6">
        <v>5372</v>
      </c>
      <c r="E40" s="6">
        <v>16476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37"/>
      <c r="B41" s="4">
        <v>12</v>
      </c>
      <c r="C41" s="5">
        <v>592</v>
      </c>
      <c r="D41" s="6">
        <v>4574</v>
      </c>
      <c r="E41" s="6">
        <v>14220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37"/>
      <c r="B42" s="4">
        <v>14</v>
      </c>
      <c r="C42" s="5">
        <v>550</v>
      </c>
      <c r="D42" s="6">
        <v>4295</v>
      </c>
      <c r="E42" s="6">
        <v>13252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37"/>
      <c r="B43" s="4">
        <v>16</v>
      </c>
      <c r="C43" s="5">
        <v>527</v>
      </c>
      <c r="D43" s="6">
        <v>3969</v>
      </c>
      <c r="E43" s="6">
        <v>12007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37"/>
      <c r="B44" s="4">
        <v>18</v>
      </c>
      <c r="C44" s="5">
        <v>497</v>
      </c>
      <c r="D44" s="6">
        <v>3709</v>
      </c>
      <c r="E44" s="6">
        <v>11351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37"/>
      <c r="B45" s="4">
        <v>20</v>
      </c>
      <c r="C45" s="5">
        <v>479</v>
      </c>
      <c r="D45" s="6">
        <v>3554</v>
      </c>
      <c r="E45" s="6">
        <v>10884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37"/>
      <c r="B46" s="10">
        <v>40</v>
      </c>
      <c r="C46" s="11">
        <v>518</v>
      </c>
      <c r="D46" s="12">
        <v>3697</v>
      </c>
      <c r="E46" s="12">
        <v>11163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37"/>
      <c r="B47" s="38" t="s">
        <v>8</v>
      </c>
      <c r="C47" s="38"/>
      <c r="D47" s="38"/>
      <c r="E47" s="3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37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37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37"/>
      <c r="B50" s="4">
        <v>2</v>
      </c>
      <c r="C50" s="5">
        <f>ROUND(C35/C36,5)</f>
        <v>1.9660200000000001</v>
      </c>
      <c r="D50" s="5">
        <f>ROUND(D35/D36,5)</f>
        <v>1.97288</v>
      </c>
      <c r="E50" s="5">
        <f>ROUND(E35/E36,5)</f>
        <v>2.0095200000000002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37"/>
      <c r="B51" s="4">
        <v>4</v>
      </c>
      <c r="C51" s="5">
        <f>ROUND(C35/C37,5)</f>
        <v>3.7708499999999998</v>
      </c>
      <c r="D51" s="5">
        <f>ROUND(D35/D37,5)</f>
        <v>3.7758600000000002</v>
      </c>
      <c r="E51" s="5">
        <f>ROUND(E35/E37,5)</f>
        <v>3.9292699999999998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37"/>
      <c r="B52" s="4">
        <v>6</v>
      </c>
      <c r="C52" s="5">
        <f>ROUND(C35/C38,5)</f>
        <v>5.16411</v>
      </c>
      <c r="D52" s="5">
        <f>ROUND(D35/D38,5)</f>
        <v>5.3716499999999998</v>
      </c>
      <c r="E52" s="5">
        <f>ROUND(E35/E38,5)</f>
        <v>5.5913500000000003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37"/>
      <c r="B53" s="13">
        <v>8</v>
      </c>
      <c r="C53" s="14">
        <f>ROUND(C35/C39,5)</f>
        <v>6.5782400000000001</v>
      </c>
      <c r="D53" s="14">
        <f>ROUND(D35/D39,5)</f>
        <v>6.6819499999999996</v>
      </c>
      <c r="E53" s="14">
        <f>ROUND(E35/E39,5)</f>
        <v>7.2440899999999999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37"/>
      <c r="B54" s="4">
        <v>10</v>
      </c>
      <c r="C54" s="5">
        <f>ROUND(C35/C40,5)</f>
        <v>7.8900300000000003</v>
      </c>
      <c r="D54" s="5">
        <f>ROUND(D35/D40,5)</f>
        <v>7.7864899999999997</v>
      </c>
      <c r="E54" s="5">
        <f>ROUND(E35/E40,5)</f>
        <v>8.63171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37"/>
      <c r="B55" s="4">
        <v>12</v>
      </c>
      <c r="C55" s="5">
        <f>ROUND(C35/C41,5)</f>
        <v>9.0895299999999999</v>
      </c>
      <c r="D55" s="5">
        <f>ROUND(D$35/D41,5)</f>
        <v>9.1449499999999997</v>
      </c>
      <c r="E55" s="5">
        <f>ROUND(E$35/E41,5)</f>
        <v>10.00113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37"/>
      <c r="B56" s="4">
        <v>14</v>
      </c>
      <c r="C56" s="5">
        <f>ROUND(C$35/C42,5)</f>
        <v>9.7836400000000001</v>
      </c>
      <c r="D56" s="5">
        <f t="shared" ref="D56:E60" si="3">ROUND(D$35/D42,5)</f>
        <v>9.7390000000000008</v>
      </c>
      <c r="E56" s="5">
        <f t="shared" si="3"/>
        <v>10.73166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37"/>
      <c r="B57" s="4">
        <v>16</v>
      </c>
      <c r="C57" s="5">
        <f t="shared" ref="C57:C60" si="4">ROUND(C$35/C43,5)</f>
        <v>10.21063</v>
      </c>
      <c r="D57" s="5">
        <f t="shared" si="3"/>
        <v>10.538930000000001</v>
      </c>
      <c r="E57" s="5">
        <f t="shared" si="3"/>
        <v>11.84442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37"/>
      <c r="B58" s="4">
        <v>18</v>
      </c>
      <c r="C58" s="5">
        <f t="shared" si="4"/>
        <v>10.82696</v>
      </c>
      <c r="D58" s="5">
        <f t="shared" si="3"/>
        <v>11.277699999999999</v>
      </c>
      <c r="E58" s="5">
        <f t="shared" si="3"/>
        <v>12.52894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37"/>
      <c r="B59" s="4">
        <v>20</v>
      </c>
      <c r="C59" s="5">
        <f t="shared" si="4"/>
        <v>11.23382</v>
      </c>
      <c r="D59" s="5">
        <f t="shared" si="3"/>
        <v>11.76956</v>
      </c>
      <c r="E59" s="5">
        <f t="shared" si="3"/>
        <v>13.066520000000001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37"/>
      <c r="B60" s="10">
        <v>40</v>
      </c>
      <c r="C60" s="11">
        <f t="shared" si="4"/>
        <v>10.388030000000001</v>
      </c>
      <c r="D60" s="11">
        <f t="shared" si="3"/>
        <v>11.314310000000001</v>
      </c>
      <c r="E60" s="11">
        <f t="shared" si="3"/>
        <v>12.739940000000001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37"/>
      <c r="B61" s="38" t="s">
        <v>9</v>
      </c>
      <c r="C61" s="38"/>
      <c r="D61" s="38"/>
      <c r="E61" s="3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37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37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37"/>
      <c r="B64" s="4">
        <v>2</v>
      </c>
      <c r="C64" s="5">
        <f t="shared" si="5"/>
        <v>0.98301000000000005</v>
      </c>
      <c r="D64" s="5">
        <f t="shared" si="5"/>
        <v>0.98643999999999998</v>
      </c>
      <c r="E64" s="5">
        <f t="shared" si="5"/>
        <v>1.0047600000000001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37"/>
      <c r="B65" s="4">
        <v>4</v>
      </c>
      <c r="C65" s="5">
        <f t="shared" si="5"/>
        <v>0.94271000000000005</v>
      </c>
      <c r="D65" s="5">
        <f>ROUND(D51/$B51,5)</f>
        <v>0.94396999999999998</v>
      </c>
      <c r="E65" s="5">
        <f t="shared" si="5"/>
        <v>0.98231999999999997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37"/>
      <c r="B66" s="4">
        <v>6</v>
      </c>
      <c r="C66" s="5">
        <f t="shared" si="5"/>
        <v>0.86068999999999996</v>
      </c>
      <c r="D66" s="5">
        <f t="shared" si="5"/>
        <v>0.89527999999999996</v>
      </c>
      <c r="E66" s="5">
        <f t="shared" si="5"/>
        <v>0.93189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37"/>
      <c r="B67" s="15">
        <v>8</v>
      </c>
      <c r="C67" s="16">
        <f t="shared" si="5"/>
        <v>0.82228000000000001</v>
      </c>
      <c r="D67" s="16">
        <f t="shared" si="5"/>
        <v>0.83523999999999998</v>
      </c>
      <c r="E67" s="16">
        <f t="shared" si="5"/>
        <v>0.90551000000000004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37"/>
      <c r="B68" s="4">
        <v>10</v>
      </c>
      <c r="C68" s="5">
        <f t="shared" si="5"/>
        <v>0.78900000000000003</v>
      </c>
      <c r="D68" s="5">
        <f t="shared" si="5"/>
        <v>0.77864999999999995</v>
      </c>
      <c r="E68" s="5">
        <f t="shared" si="5"/>
        <v>0.86316999999999999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37"/>
      <c r="B69" s="4">
        <v>12</v>
      </c>
      <c r="C69" s="5">
        <f t="shared" si="5"/>
        <v>0.75746000000000002</v>
      </c>
      <c r="D69" s="5">
        <f t="shared" si="5"/>
        <v>0.76207999999999998</v>
      </c>
      <c r="E69" s="5">
        <f t="shared" si="5"/>
        <v>0.83343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37"/>
      <c r="B70" s="4">
        <v>14</v>
      </c>
      <c r="C70" s="5">
        <f t="shared" si="5"/>
        <v>0.69882999999999995</v>
      </c>
      <c r="D70" s="5">
        <f t="shared" si="5"/>
        <v>0.69564000000000004</v>
      </c>
      <c r="E70" s="5">
        <f t="shared" si="5"/>
        <v>0.76654999999999995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37"/>
      <c r="B71" s="4">
        <v>16</v>
      </c>
      <c r="C71" s="5">
        <f t="shared" si="5"/>
        <v>0.63815999999999995</v>
      </c>
      <c r="D71" s="5">
        <f t="shared" si="5"/>
        <v>0.65868000000000004</v>
      </c>
      <c r="E71" s="5">
        <f t="shared" si="5"/>
        <v>0.74028000000000005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37"/>
      <c r="B72" s="4">
        <v>18</v>
      </c>
      <c r="C72" s="5">
        <f t="shared" si="5"/>
        <v>0.60150000000000003</v>
      </c>
      <c r="D72" s="5">
        <f t="shared" si="5"/>
        <v>0.62653999999999999</v>
      </c>
      <c r="E72" s="5">
        <f t="shared" si="5"/>
        <v>0.69604999999999995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37"/>
      <c r="B73" s="4">
        <v>20</v>
      </c>
      <c r="C73" s="5">
        <f t="shared" si="5"/>
        <v>0.56169000000000002</v>
      </c>
      <c r="D73" s="5">
        <f t="shared" si="5"/>
        <v>0.58848</v>
      </c>
      <c r="E73" s="5">
        <f t="shared" si="5"/>
        <v>0.65332999999999997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37"/>
      <c r="B74" s="10">
        <v>40</v>
      </c>
      <c r="C74" s="11">
        <f t="shared" si="5"/>
        <v>0.25969999999999999</v>
      </c>
      <c r="D74" s="11">
        <f t="shared" si="5"/>
        <v>0.28286</v>
      </c>
      <c r="E74" s="11">
        <f t="shared" si="5"/>
        <v>0.31850000000000001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37"/>
      <c r="B75" s="9" t="s">
        <v>10</v>
      </c>
      <c r="C75" s="41" t="s">
        <v>14</v>
      </c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23"/>
      <c r="AC75" s="23"/>
      <c r="AD75" s="22"/>
    </row>
    <row r="76" spans="1:30" ht="21.6" customHeight="1" x14ac:dyDescent="0.25">
      <c r="A76" s="39" t="s">
        <v>15</v>
      </c>
      <c r="B76" s="38" t="s">
        <v>3</v>
      </c>
      <c r="C76" s="38"/>
      <c r="D76" s="38"/>
      <c r="E76" s="38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39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39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39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39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39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39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39"/>
      <c r="B83" s="38" t="s">
        <v>8</v>
      </c>
      <c r="C83" s="38"/>
      <c r="D83" s="38"/>
      <c r="E83" s="38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39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39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39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39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39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39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39"/>
      <c r="B90" s="38" t="s">
        <v>9</v>
      </c>
      <c r="C90" s="38"/>
      <c r="D90" s="38"/>
      <c r="E90" s="38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39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39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39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39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39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39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39"/>
      <c r="B97" s="40" t="s">
        <v>10</v>
      </c>
      <c r="C97" s="40"/>
      <c r="D97" s="40"/>
      <c r="E97" s="40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39"/>
      <c r="B98" s="35" t="s">
        <v>31</v>
      </c>
      <c r="C98" s="35"/>
      <c r="D98" s="35"/>
      <c r="E98" s="35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39"/>
      <c r="B99" s="35"/>
      <c r="C99" s="35"/>
      <c r="D99" s="35"/>
      <c r="E99" s="35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39"/>
      <c r="B100" s="35"/>
      <c r="C100" s="35"/>
      <c r="D100" s="35"/>
      <c r="E100" s="35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39"/>
      <c r="B101" s="35"/>
      <c r="C101" s="35"/>
      <c r="D101" s="35"/>
      <c r="E101" s="35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39"/>
      <c r="B102" s="35"/>
      <c r="C102" s="35"/>
      <c r="D102" s="35"/>
      <c r="E102" s="35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39"/>
      <c r="B103" s="35"/>
      <c r="C103" s="35"/>
      <c r="D103" s="35"/>
      <c r="E103" s="35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39"/>
      <c r="B104" s="35"/>
      <c r="C104" s="35"/>
      <c r="D104" s="35"/>
      <c r="E104" s="35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39"/>
      <c r="B105" s="35"/>
      <c r="C105" s="35"/>
      <c r="D105" s="35"/>
      <c r="E105" s="35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43C05201-5D9E-4235-90B2-C549AD74846E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L26"/>
  <sheetViews>
    <sheetView topLeftCell="C1" workbookViewId="0">
      <selection activeCell="D23" sqref="D23"/>
    </sheetView>
  </sheetViews>
  <sheetFormatPr defaultRowHeight="14.3" x14ac:dyDescent="0.25"/>
  <cols>
    <col min="1" max="1" width="66.7109375" bestFit="1" customWidth="1"/>
    <col min="2" max="5" width="21.7109375" customWidth="1"/>
    <col min="7" max="11" width="11.7109375" customWidth="1"/>
  </cols>
  <sheetData>
    <row r="1" spans="1:12" ht="17.3" customHeight="1" x14ac:dyDescent="0.25">
      <c r="A1" s="42" t="s">
        <v>17</v>
      </c>
      <c r="B1" s="43"/>
      <c r="C1" s="59"/>
      <c r="D1" s="60" t="s">
        <v>18</v>
      </c>
      <c r="E1" s="60" t="s">
        <v>19</v>
      </c>
    </row>
    <row r="2" spans="1:12" ht="17.3" customHeight="1" x14ac:dyDescent="0.25">
      <c r="A2" s="25" t="s">
        <v>20</v>
      </c>
      <c r="B2" s="61" t="s">
        <v>21</v>
      </c>
      <c r="C2" s="61"/>
      <c r="D2" s="61"/>
      <c r="E2" s="61"/>
    </row>
    <row r="3" spans="1:12" ht="17.3" customHeight="1" x14ac:dyDescent="0.25">
      <c r="A3" s="58" t="s">
        <v>22</v>
      </c>
      <c r="B3" s="58"/>
      <c r="C3" s="58"/>
      <c r="D3" s="58"/>
      <c r="E3" s="58"/>
    </row>
    <row r="4" spans="1:12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2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2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</row>
    <row r="7" spans="1:12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</row>
    <row r="8" spans="1:12" ht="17.3" customHeight="1" x14ac:dyDescent="0.25">
      <c r="A8" s="58" t="s">
        <v>27</v>
      </c>
      <c r="B8" s="58"/>
      <c r="C8" s="58"/>
      <c r="D8" s="58"/>
      <c r="E8" s="58"/>
      <c r="F8" s="31"/>
      <c r="G8" s="31"/>
      <c r="H8" s="31"/>
      <c r="I8" s="31"/>
      <c r="J8" s="31"/>
      <c r="K8" s="31"/>
      <c r="L8" s="31"/>
    </row>
    <row r="9" spans="1:12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31"/>
      <c r="H9" s="31"/>
      <c r="I9" s="31"/>
      <c r="J9" s="31"/>
      <c r="K9" s="31"/>
      <c r="L9" s="31"/>
    </row>
    <row r="10" spans="1:12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31"/>
      <c r="H10" s="31"/>
      <c r="I10" s="31"/>
      <c r="J10" s="31"/>
      <c r="K10" s="31"/>
      <c r="L10" s="31"/>
    </row>
    <row r="11" spans="1:12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1"/>
      <c r="H11" s="31"/>
      <c r="I11" s="31"/>
      <c r="J11" s="31"/>
      <c r="K11" s="31"/>
      <c r="L11" s="31"/>
    </row>
    <row r="12" spans="1:12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1"/>
      <c r="H12" s="31"/>
      <c r="I12" s="31"/>
      <c r="J12" s="31"/>
      <c r="K12" s="31"/>
      <c r="L12" s="31"/>
    </row>
    <row r="13" spans="1:12" ht="17.3" customHeight="1" x14ac:dyDescent="0.25">
      <c r="A13" s="58" t="s">
        <v>28</v>
      </c>
      <c r="B13" s="58"/>
      <c r="C13" s="58"/>
      <c r="D13" s="58"/>
      <c r="E13" s="58"/>
      <c r="F13" s="31"/>
      <c r="L13" s="31"/>
    </row>
    <row r="14" spans="1:12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56" t="s">
        <v>30</v>
      </c>
      <c r="H14" s="53" t="s">
        <v>29</v>
      </c>
      <c r="I14" s="54"/>
      <c r="J14" s="54"/>
      <c r="K14" s="55"/>
      <c r="L14" s="31"/>
    </row>
    <row r="15" spans="1:12" ht="17.3" customHeight="1" x14ac:dyDescent="0.25">
      <c r="A15" s="26" t="s">
        <v>24</v>
      </c>
      <c r="B15" s="28">
        <v>467</v>
      </c>
      <c r="C15" s="28">
        <v>1041</v>
      </c>
      <c r="D15" s="28">
        <v>2894</v>
      </c>
      <c r="E15" s="28">
        <v>5610</v>
      </c>
      <c r="F15" s="31"/>
      <c r="G15" s="57"/>
      <c r="H15" s="33">
        <v>16</v>
      </c>
      <c r="I15" s="33">
        <v>32</v>
      </c>
      <c r="J15" s="33">
        <v>64</v>
      </c>
      <c r="K15" s="33">
        <v>128</v>
      </c>
      <c r="L15" s="31"/>
    </row>
    <row r="16" spans="1:12" ht="17.3" customHeight="1" x14ac:dyDescent="0.25">
      <c r="A16" s="29" t="s">
        <v>25</v>
      </c>
      <c r="B16" s="30">
        <v>1407</v>
      </c>
      <c r="C16" s="30">
        <v>4607</v>
      </c>
      <c r="D16" s="30">
        <v>20957</v>
      </c>
      <c r="E16" s="30">
        <v>58068</v>
      </c>
      <c r="F16" s="31"/>
      <c r="G16" s="33">
        <v>2000</v>
      </c>
      <c r="H16" s="34">
        <v>2256</v>
      </c>
      <c r="I16" s="34">
        <v>1332</v>
      </c>
      <c r="J16" s="34">
        <v>1844</v>
      </c>
      <c r="K16" s="34">
        <v>4329</v>
      </c>
      <c r="L16" s="31"/>
    </row>
    <row r="17" spans="1:12" ht="17.3" customHeight="1" x14ac:dyDescent="0.25">
      <c r="A17" s="26" t="s">
        <v>26</v>
      </c>
      <c r="B17" s="28">
        <v>1875</v>
      </c>
      <c r="C17" s="28">
        <v>5648</v>
      </c>
      <c r="D17" s="28">
        <v>23852</v>
      </c>
      <c r="E17" s="28">
        <v>63679</v>
      </c>
      <c r="F17" s="31"/>
      <c r="G17" s="33">
        <v>3000</v>
      </c>
      <c r="H17" s="34">
        <v>7481</v>
      </c>
      <c r="I17" s="34">
        <v>4620</v>
      </c>
      <c r="J17" s="34">
        <v>5585</v>
      </c>
      <c r="K17" s="34">
        <v>13227</v>
      </c>
      <c r="L17" s="31"/>
    </row>
    <row r="18" spans="1:12" ht="17.850000000000001" x14ac:dyDescent="0.25">
      <c r="F18" s="31"/>
      <c r="L18" s="31"/>
    </row>
    <row r="19" spans="1:12" ht="17.850000000000001" x14ac:dyDescent="0.25">
      <c r="F19" s="31"/>
      <c r="G19" s="31"/>
      <c r="H19" s="31"/>
      <c r="I19" s="31"/>
      <c r="J19" s="31"/>
      <c r="K19" s="31"/>
      <c r="L19" s="31"/>
    </row>
    <row r="20" spans="1:12" ht="20" customHeight="1" x14ac:dyDescent="0.25">
      <c r="F20" s="31"/>
      <c r="L20" s="31"/>
    </row>
    <row r="21" spans="1:12" ht="20" customHeight="1" x14ac:dyDescent="0.25">
      <c r="F21" s="31"/>
      <c r="L21" s="31"/>
    </row>
    <row r="22" spans="1:12" ht="20" customHeight="1" x14ac:dyDescent="0.25">
      <c r="F22" s="31"/>
      <c r="L22" s="31"/>
    </row>
    <row r="23" spans="1:12" ht="20" customHeight="1" x14ac:dyDescent="0.25">
      <c r="F23" s="31"/>
      <c r="L23" s="31"/>
    </row>
    <row r="24" spans="1:12" ht="20" customHeight="1" x14ac:dyDescent="0.25">
      <c r="F24" s="20"/>
      <c r="G24" s="32"/>
      <c r="H24" s="32"/>
      <c r="I24" s="32"/>
      <c r="J24" s="32"/>
      <c r="K24" s="32"/>
      <c r="L24" s="20"/>
    </row>
    <row r="25" spans="1:12" ht="20" customHeight="1" x14ac:dyDescent="0.25">
      <c r="F25" s="20"/>
      <c r="G25" s="32"/>
      <c r="H25" s="32"/>
      <c r="I25" s="32"/>
      <c r="J25" s="32"/>
      <c r="K25" s="32"/>
      <c r="L25" s="20"/>
    </row>
    <row r="26" spans="1:12" ht="17.850000000000001" x14ac:dyDescent="0.25">
      <c r="F26" s="31"/>
      <c r="G26" s="31"/>
      <c r="H26" s="31"/>
      <c r="I26" s="31"/>
      <c r="J26" s="31"/>
      <c r="K26" s="31"/>
      <c r="L26" s="31"/>
    </row>
  </sheetData>
  <mergeCells count="8">
    <mergeCell ref="H14:K14"/>
    <mergeCell ref="G14:G15"/>
    <mergeCell ref="A13:E13"/>
    <mergeCell ref="A1:C1"/>
    <mergeCell ref="D1:E1"/>
    <mergeCell ref="B2:E2"/>
    <mergeCell ref="A3:E3"/>
    <mergeCell ref="A8:E8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Графики</vt:lpstr>
      <vt:lpstr>Таблица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2026-04-23T15:38:34Z</dcterms:modified>
</cp:coreProperties>
</file>
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5C8DFC89-A5E3-4476-ADF2-AD0ABCC5EEB6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2" r:id="rId1"/>
    <sheet name="Графики" sheetId="1" r:id="rId2"/>
    <sheet name="Замеры блоков" sheetId="3" r:id="rId3"/>
    <sheet name="Сравнение с эталонами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4" l="1"/>
  <c r="F9" i="4"/>
  <c r="F14" i="4"/>
  <c r="F23" i="4"/>
  <c r="F28" i="4"/>
  <c r="F33" i="4"/>
  <c r="F48" i="4"/>
  <c r="F43" i="4"/>
  <c r="E51" i="4" l="1"/>
  <c r="D51" i="4"/>
  <c r="C51" i="4"/>
  <c r="B51" i="4"/>
  <c r="E46" i="4"/>
  <c r="D46" i="4"/>
  <c r="C46" i="4"/>
  <c r="B46" i="4"/>
  <c r="R17" i="2" l="1"/>
  <c r="R16" i="2"/>
  <c r="R12" i="2"/>
  <c r="R11" i="2"/>
  <c r="C36" i="4"/>
  <c r="D36" i="4"/>
  <c r="E36" i="4"/>
  <c r="B36" i="4"/>
  <c r="C31" i="4"/>
  <c r="D31" i="4"/>
  <c r="E31" i="4"/>
  <c r="B31" i="4"/>
  <c r="C26" i="4"/>
  <c r="D26" i="4"/>
  <c r="E26" i="4"/>
  <c r="B26" i="4"/>
  <c r="C17" i="4"/>
  <c r="D17" i="4"/>
  <c r="E17" i="4"/>
  <c r="B17" i="4"/>
  <c r="C7" i="4"/>
  <c r="D7" i="4"/>
  <c r="E7" i="4"/>
  <c r="B7" i="4"/>
  <c r="C12" i="4"/>
  <c r="D12" i="4"/>
  <c r="E12" i="4"/>
  <c r="B12" i="4"/>
  <c r="F15" i="3" l="1"/>
  <c r="E15" i="3"/>
  <c r="D15" i="3"/>
  <c r="C15" i="3"/>
  <c r="F11" i="3"/>
  <c r="E11" i="3"/>
  <c r="D11" i="3"/>
  <c r="C11" i="3"/>
  <c r="E7" i="3"/>
  <c r="F7" i="3"/>
  <c r="D7" i="3"/>
  <c r="C7" i="3"/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73" i="1" s="1"/>
  <c r="D60" i="1"/>
  <c r="D55" i="1"/>
  <c r="D69" i="1" s="1"/>
  <c r="C57" i="1"/>
  <c r="C71" i="1" s="1"/>
  <c r="C58" i="1"/>
  <c r="C72" i="1" s="1"/>
  <c r="C59" i="1"/>
  <c r="C73" i="1" s="1"/>
  <c r="C60" i="1"/>
  <c r="C74" i="1" s="1"/>
  <c r="C56" i="1"/>
  <c r="D93" i="1"/>
  <c r="E92" i="1"/>
  <c r="D92" i="1"/>
  <c r="C92" i="1"/>
  <c r="E89" i="1"/>
  <c r="E96" i="1" s="1"/>
  <c r="D89" i="1"/>
  <c r="D96" i="1" s="1"/>
  <c r="C89" i="1"/>
  <c r="C96" i="1" s="1"/>
  <c r="E88" i="1"/>
  <c r="E95" i="1" s="1"/>
  <c r="D88" i="1"/>
  <c r="D95" i="1" s="1"/>
  <c r="C88" i="1"/>
  <c r="C95" i="1" s="1"/>
  <c r="E87" i="1"/>
  <c r="E94" i="1" s="1"/>
  <c r="D87" i="1"/>
  <c r="D94" i="1" s="1"/>
  <c r="C87" i="1"/>
  <c r="C94" i="1" s="1"/>
  <c r="E86" i="1"/>
  <c r="E93" i="1" s="1"/>
  <c r="D86" i="1"/>
  <c r="C86" i="1"/>
  <c r="C93" i="1" s="1"/>
  <c r="E85" i="1"/>
  <c r="D85" i="1"/>
  <c r="C85" i="1"/>
  <c r="D74" i="1"/>
  <c r="D72" i="1"/>
  <c r="C70" i="1"/>
  <c r="C55" i="1"/>
  <c r="C69" i="1" s="1"/>
  <c r="E54" i="1"/>
  <c r="E68" i="1" s="1"/>
  <c r="D54" i="1"/>
  <c r="D68" i="1" s="1"/>
  <c r="C54" i="1"/>
  <c r="C68" i="1" s="1"/>
  <c r="E53" i="1"/>
  <c r="E67" i="1" s="1"/>
  <c r="D53" i="1"/>
  <c r="D67" i="1" s="1"/>
  <c r="C53" i="1"/>
  <c r="C67" i="1" s="1"/>
  <c r="E52" i="1"/>
  <c r="E66" i="1" s="1"/>
  <c r="D52" i="1"/>
  <c r="D66" i="1" s="1"/>
  <c r="C52" i="1"/>
  <c r="C66" i="1" s="1"/>
  <c r="E51" i="1"/>
  <c r="E65" i="1" s="1"/>
  <c r="D51" i="1"/>
  <c r="D65" i="1" s="1"/>
  <c r="C51" i="1"/>
  <c r="C65" i="1" s="1"/>
  <c r="E50" i="1"/>
  <c r="E64" i="1" s="1"/>
  <c r="D50" i="1"/>
  <c r="D64" i="1" s="1"/>
  <c r="C50" i="1"/>
  <c r="C64" i="1" s="1"/>
  <c r="E49" i="1"/>
  <c r="E63" i="1" s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<sst xmlns="http://schemas.openxmlformats.org/spreadsheetml/2006/main" count="170" uniqueCount="68">
  <si>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</si>
  <si>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</si>
  <si>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</si>
  <si>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</si>
  <si>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</si>
  <si>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</si>
  <si>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</si>
  <si>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</si>
  <si>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</si>
  <si>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</si>
  <si>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</si>
  <si>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</si>
  <si>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</si>
  <si>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</si>
  <si>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</si>
  <si>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</si>
  <si>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</si>
  <si>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</si>
  <si>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</si>
  <si>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</si>
  <si>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</si>
  <si>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</si>
  <si>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</si>
  <si>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</si>
  <si>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</si>
  <si>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</si>
  <si>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</si>
  <si>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</si>
  <si>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t>размер блока:</t>
  </si>
  <si>
    <t>n</t>
  </si>
  <si>
    <t>ЭТО КАК</t>
  </si>
  <si>
    <t>risk-V (компилятор gcc-riskv64-15.1.0)</t>
  </si>
  <si>
    <t>Размеры матрицы</t>
  </si>
  <si>
    <t>L11 x U11</t>
  </si>
  <si>
    <t>L21</t>
  </si>
  <si>
    <t>U12</t>
  </si>
  <si>
    <t>L22 x U22</t>
  </si>
  <si>
    <t>Общее время вычисления (ms)</t>
  </si>
  <si>
    <t>Время вычисления блоков (ms)</t>
  </si>
  <si>
    <t>Процент от общего времени (%)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</si>
  <si>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</si>
  <si>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>Время вычисления версии 3.2, мс:</t>
  </si>
  <si>
    <t>Хорошо</t>
  </si>
  <si>
    <t>Бал + деж</t>
  </si>
  <si>
    <t>Есть некоторые проблемы</t>
  </si>
  <si>
    <t>Для справки: год выхода - 2021</t>
  </si>
  <si>
    <t>Для справки: год выхода - 2025</t>
  </si>
  <si>
    <t>Есть проблемы</t>
  </si>
  <si>
    <t>Появились проблемы</t>
  </si>
  <si>
    <t>Всё еще быстрее)</t>
  </si>
  <si>
    <t>Итог:</t>
  </si>
  <si>
    <t>На кластерах версия быстрее, однако на ноутбуке выигрывает eigen</t>
  </si>
  <si>
    <t>Версия eigen выигрывает на процессорах архитектуры х86, но на risk-V работает ощутимо медленнее</t>
  </si>
  <si>
    <t>Время без векторизации</t>
  </si>
  <si>
    <t>Про векторизацию</t>
  </si>
  <si>
    <t>Выигрыш, %</t>
  </si>
  <si>
    <t>Не сработали ключи</t>
  </si>
  <si>
    <t>Сравнение версии 3.2 и eigen-5.0.0 (функция Eigen::PartialPivLU)</t>
  </si>
  <si>
    <t>Сравнение версии 3.2 и eigen-3.4.0 (функция Eigen::PartialPivLU)</t>
  </si>
  <si>
    <t>Время вычисления эталона, мс:</t>
  </si>
  <si>
    <t>Отношение времени эталона ко времени версии 3.2, %</t>
  </si>
  <si>
    <t>я год прогу писал, кстати</t>
  </si>
  <si>
    <t>Сравнение версии 3.2 и mkl (функция LAPACKE_dgetrf)</t>
  </si>
  <si>
    <t>Примечание: приведено только время LU разложения (актуально для всех таблиц)</t>
  </si>
  <si>
    <t>Примечание: при замерах на ноутбуке использована версия 2025.2, на кластерах - 2023.0.0</t>
  </si>
  <si>
    <t>На Risk-V запустить mkl невозможно.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</si>
  <si>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</si>
  <si>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 xml:space="preserve">Применение моей программы имеет смысл только для архитектуры Risk-V, однако, целью работы и была оптимизация под Risk-V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</si>
</sst>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u/>
      <sz val="18"/>
      <color theme="0"/>
      <name val="GOST Common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/>
    <xf numFmtId="0" fontId="9" fillId="0" borderId="4" xfId="0" applyFont="1" applyBorder="1" applyAlignment="1">
      <alignment horizontal="center" vertical="center"/>
    </xf>
    <xf numFmtId="0" fontId="10" fillId="11" borderId="4" xfId="0" applyFont="1" applyFill="1" applyBorder="1"/>
    <xf numFmtId="0" fontId="11" fillId="11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12" borderId="4" xfId="0" applyFont="1" applyFill="1" applyBorder="1"/>
    <xf numFmtId="0" fontId="11" fillId="12" borderId="4" xfId="0" applyFont="1" applyFill="1" applyBorder="1" applyAlignment="1">
      <alignment horizontal="center"/>
    </xf>
    <xf numFmtId="0" fontId="4" fillId="12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9" fillId="0" borderId="4" xfId="0" applyFont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5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10" fillId="11" borderId="13" xfId="0" applyFont="1" applyFill="1" applyBorder="1" applyAlignment="1">
      <alignment horizontal="center" vertical="center"/>
    </xf>
    <xf numFmtId="0" fontId="10" fillId="11" borderId="14" xfId="0" applyFon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6600"/>
      <color rgb="FF66FF66"/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42432</c:v>
                </c:pt>
                <c:pt idx="1">
                  <c:v>21304</c:v>
                </c:pt>
                <c:pt idx="2">
                  <c:v>11216</c:v>
                </c:pt>
                <c:pt idx="3">
                  <c:v>7807</c:v>
                </c:pt>
                <c:pt idx="4">
                  <c:v>6310</c:v>
                </c:pt>
                <c:pt idx="5">
                  <c:v>5315</c:v>
                </c:pt>
                <c:pt idx="6">
                  <c:v>4635</c:v>
                </c:pt>
                <c:pt idx="7">
                  <c:v>4175</c:v>
                </c:pt>
                <c:pt idx="8">
                  <c:v>3919</c:v>
                </c:pt>
                <c:pt idx="9">
                  <c:v>3662</c:v>
                </c:pt>
                <c:pt idx="10">
                  <c:v>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144977</c:v>
                </c:pt>
                <c:pt idx="1">
                  <c:v>71552</c:v>
                </c:pt>
                <c:pt idx="2">
                  <c:v>36660</c:v>
                </c:pt>
                <c:pt idx="3">
                  <c:v>25225</c:v>
                </c:pt>
                <c:pt idx="4">
                  <c:v>20733</c:v>
                </c:pt>
                <c:pt idx="5">
                  <c:v>16914</c:v>
                </c:pt>
                <c:pt idx="6">
                  <c:v>13976</c:v>
                </c:pt>
                <c:pt idx="7">
                  <c:v>13026</c:v>
                </c:pt>
                <c:pt idx="8">
                  <c:v>11592</c:v>
                </c:pt>
                <c:pt idx="9">
                  <c:v>11199</c:v>
                </c:pt>
                <c:pt idx="10">
                  <c:v>10302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2.0261800000000001</c:v>
                </c:pt>
                <c:pt idx="2">
                  <c:v>3.9546399999999999</c:v>
                </c:pt>
                <c:pt idx="3">
                  <c:v>5.74735</c:v>
                </c:pt>
                <c:pt idx="4">
                  <c:v>6.9925699999999997</c:v>
                </c:pt>
                <c:pt idx="5">
                  <c:v>8.5714199999999998</c:v>
                </c:pt>
                <c:pt idx="6">
                  <c:v>10.373279999999999</c:v>
                </c:pt>
                <c:pt idx="7">
                  <c:v>11.12982</c:v>
                </c:pt>
                <c:pt idx="8">
                  <c:v>12.506640000000001</c:v>
                </c:pt>
                <c:pt idx="9">
                  <c:v>12.94553</c:v>
                </c:pt>
                <c:pt idx="10">
                  <c:v>14.072699999999999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1.9917400000000001</c:v>
                </c:pt>
                <c:pt idx="2">
                  <c:v>3.7831700000000001</c:v>
                </c:pt>
                <c:pt idx="3">
                  <c:v>5.4351200000000004</c:v>
                </c:pt>
                <c:pt idx="4">
                  <c:v>6.7245600000000003</c:v>
                </c:pt>
                <c:pt idx="5">
                  <c:v>7.9834399999999999</c:v>
                </c:pt>
                <c:pt idx="6">
                  <c:v>9.1546900000000004</c:v>
                </c:pt>
                <c:pt idx="7">
                  <c:v>10.163349999999999</c:v>
                </c:pt>
                <c:pt idx="8">
                  <c:v>10.827249999999999</c:v>
                </c:pt>
                <c:pt idx="9">
                  <c:v>11.587109999999999</c:v>
                </c:pt>
                <c:pt idx="10">
                  <c:v>12.16165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2.000378787878788</c:v>
                </c:pt>
                <c:pt idx="2">
                  <c:v>4.0420972062763108</c:v>
                </c:pt>
                <c:pt idx="3">
                  <c:v>5.7937465715852987</c:v>
                </c:pt>
                <c:pt idx="4">
                  <c:v>7.5174377224199285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1.000189393939394</c:v>
                </c:pt>
                <c:pt idx="2">
                  <c:v>1.0105243015690777</c:v>
                </c:pt>
                <c:pt idx="3">
                  <c:v>0.96562442859754982</c:v>
                </c:pt>
                <c:pt idx="4">
                  <c:v>0.93967971530249106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10562</c:v>
                </c:pt>
                <c:pt idx="1">
                  <c:v>5280</c:v>
                </c:pt>
                <c:pt idx="2">
                  <c:v>2613</c:v>
                </c:pt>
                <c:pt idx="3">
                  <c:v>1823</c:v>
                </c:pt>
                <c:pt idx="4">
                  <c:v>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36099</c:v>
                </c:pt>
                <c:pt idx="1">
                  <c:v>17609</c:v>
                </c:pt>
                <c:pt idx="2">
                  <c:v>8670</c:v>
                </c:pt>
                <c:pt idx="3">
                  <c:v>5968</c:v>
                </c:pt>
                <c:pt idx="4">
                  <c:v>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1.025015617014027</c:v>
                </c:pt>
                <c:pt idx="2">
                  <c:v>1.040916955017301</c:v>
                </c:pt>
                <c:pt idx="3">
                  <c:v>1.0081266756032172</c:v>
                </c:pt>
                <c:pt idx="4">
                  <c:v>0.9771275443915115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167489</c:v>
                </c:pt>
                <c:pt idx="1">
                  <c:v>80815</c:v>
                </c:pt>
                <c:pt idx="2">
                  <c:v>39609</c:v>
                </c:pt>
                <c:pt idx="3">
                  <c:v>27215</c:v>
                </c:pt>
                <c:pt idx="4">
                  <c:v>20859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1.0362494586401039</c:v>
                </c:pt>
                <c:pt idx="2">
                  <c:v>1.0571397914615366</c:v>
                </c:pt>
                <c:pt idx="3">
                  <c:v>1.0257149856084267</c:v>
                </c:pt>
                <c:pt idx="4">
                  <c:v>1.0036974447480704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0.99890000000000001</c:v>
                </c:pt>
                <c:pt idx="2">
                  <c:v>0.96716999999999997</c:v>
                </c:pt>
                <c:pt idx="3">
                  <c:v>0.93030999999999997</c:v>
                </c:pt>
                <c:pt idx="4">
                  <c:v>0.84370999999999996</c:v>
                </c:pt>
                <c:pt idx="5">
                  <c:v>0.81381000000000003</c:v>
                </c:pt>
                <c:pt idx="6">
                  <c:v>0.79518999999999995</c:v>
                </c:pt>
                <c:pt idx="7">
                  <c:v>0.70775999999999994</c:v>
                </c:pt>
                <c:pt idx="8">
                  <c:v>0.65776999999999997</c:v>
                </c:pt>
                <c:pt idx="9">
                  <c:v>0.59391000000000005</c:v>
                </c:pt>
                <c:pt idx="10">
                  <c:v>0.55647000000000002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0.99587000000000003</c:v>
                </c:pt>
                <c:pt idx="2">
                  <c:v>0.94579000000000002</c:v>
                </c:pt>
                <c:pt idx="3">
                  <c:v>0.90585000000000004</c:v>
                </c:pt>
                <c:pt idx="4">
                  <c:v>0.84057000000000004</c:v>
                </c:pt>
                <c:pt idx="5">
                  <c:v>0.79834000000000005</c:v>
                </c:pt>
                <c:pt idx="6">
                  <c:v>0.76288999999999996</c:v>
                </c:pt>
                <c:pt idx="7">
                  <c:v>0.72594999999999998</c:v>
                </c:pt>
                <c:pt idx="8">
                  <c:v>0.67669999999999997</c:v>
                </c:pt>
                <c:pt idx="9">
                  <c:v>0.64373000000000002</c:v>
                </c:pt>
                <c:pt idx="10">
                  <c:v>0.60807999999999995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1.01309</c:v>
                </c:pt>
                <c:pt idx="2">
                  <c:v>0.98865999999999998</c:v>
                </c:pt>
                <c:pt idx="3">
                  <c:v>0.95789000000000002</c:v>
                </c:pt>
                <c:pt idx="4">
                  <c:v>0.87407000000000001</c:v>
                </c:pt>
                <c:pt idx="5">
                  <c:v>0.85714000000000001</c:v>
                </c:pt>
                <c:pt idx="6">
                  <c:v>0.86443999999999999</c:v>
                </c:pt>
                <c:pt idx="7">
                  <c:v>0.79498999999999997</c:v>
                </c:pt>
                <c:pt idx="8">
                  <c:v>0.78166999999999998</c:v>
                </c:pt>
                <c:pt idx="9">
                  <c:v>0.71919999999999995</c:v>
                </c:pt>
                <c:pt idx="10">
                  <c:v>0.70364000000000004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1.99779</c:v>
                </c:pt>
                <c:pt idx="2">
                  <c:v>3.8686699999999998</c:v>
                </c:pt>
                <c:pt idx="3">
                  <c:v>5.5818700000000003</c:v>
                </c:pt>
                <c:pt idx="4">
                  <c:v>6.7496900000000002</c:v>
                </c:pt>
                <c:pt idx="5">
                  <c:v>8.1381399999999999</c:v>
                </c:pt>
                <c:pt idx="6">
                  <c:v>9.5422499999999992</c:v>
                </c:pt>
                <c:pt idx="7">
                  <c:v>9.9085900000000002</c:v>
                </c:pt>
                <c:pt idx="8">
                  <c:v>10.52427</c:v>
                </c:pt>
                <c:pt idx="9">
                  <c:v>10.690340000000001</c:v>
                </c:pt>
                <c:pt idx="10">
                  <c:v>11.12936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5420</c:v>
                </c:pt>
                <c:pt idx="1">
                  <c:v>2713</c:v>
                </c:pt>
                <c:pt idx="2">
                  <c:v>1401</c:v>
                </c:pt>
                <c:pt idx="3">
                  <c:v>971</c:v>
                </c:pt>
                <c:pt idx="4">
                  <c:v>803</c:v>
                </c:pt>
                <c:pt idx="5">
                  <c:v>666</c:v>
                </c:pt>
                <c:pt idx="6">
                  <c:v>568</c:v>
                </c:pt>
                <c:pt idx="7">
                  <c:v>547</c:v>
                </c:pt>
                <c:pt idx="8">
                  <c:v>515</c:v>
                </c:pt>
                <c:pt idx="9">
                  <c:v>507</c:v>
                </c:pt>
                <c:pt idx="10">
                  <c:v>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27C40F3-13E6-48F1-943D-4310E1495EA8}"/>
            </a:ext>
          </a:extLst>
        </xdr:cNvPr>
        <xdr:cNvSpPr txBox="1"/>
      </xdr:nvSpPr>
      <xdr:spPr>
        <a:xfrm>
          <a:off x="8365403" y="57806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13</xdr:row>
      <xdr:rowOff>113168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093D744-D74B-4593-903E-446A2AC939BF}"/>
            </a:ext>
          </a:extLst>
        </xdr:cNvPr>
        <xdr:cNvSpPr txBox="1"/>
      </xdr:nvSpPr>
      <xdr:spPr>
        <a:xfrm>
          <a:off x="8365403" y="655018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27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4EFA4A6-A70C-43DC-BBB7-2A6A3B9C1DDD}"/>
            </a:ext>
          </a:extLst>
        </xdr:cNvPr>
        <xdr:cNvSpPr txBox="1"/>
      </xdr:nvSpPr>
      <xdr:spPr>
        <a:xfrm>
          <a:off x="8510258" y="18514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32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23E637A-5992-456F-B7A9-7DBB8A2D5FC8}"/>
            </a:ext>
          </a:extLst>
        </xdr:cNvPr>
        <xdr:cNvSpPr txBox="1"/>
      </xdr:nvSpPr>
      <xdr:spPr>
        <a:xfrm>
          <a:off x="8510258" y="293784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47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CC328BD-B47F-4009-AD8A-D87309DD65B1}"/>
            </a:ext>
          </a:extLst>
        </xdr:cNvPr>
        <xdr:cNvSpPr txBox="1"/>
      </xdr:nvSpPr>
      <xdr:spPr>
        <a:xfrm>
          <a:off x="8510258" y="6233311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52</xdr:row>
      <xdr:rowOff>113168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0221359-63EF-4126-8018-AB51CDF9EFC4}"/>
            </a:ext>
          </a:extLst>
        </xdr:cNvPr>
        <xdr:cNvSpPr txBox="1"/>
      </xdr:nvSpPr>
      <xdr:spPr>
        <a:xfrm>
          <a:off x="8510258" y="736499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S26"/>
  <sheetViews>
    <sheetView topLeftCell="B1" workbookViewId="0">
      <selection activeCell="M5" sqref="M5"/>
    </sheetView>
  </sheetViews>
  <sheetFormatPr defaultRowHeight="14.3" x14ac:dyDescent="0.25"/>
  <cols>
    <col min="1" max="1" width="66.7109375" bestFit="1" customWidth="1"/>
    <col min="2" max="5" width="21.7109375" customWidth="1"/>
    <col min="7" max="12" width="11.7109375" customWidth="1"/>
    <col min="14" max="19" width="11.7109375" customWidth="1"/>
  </cols>
  <sheetData>
    <row r="1" spans="1:19" ht="17.3" customHeight="1" x14ac:dyDescent="0.25">
      <c r="A1" s="58" t="s">
        <v>17</v>
      </c>
      <c r="B1" s="59"/>
      <c r="C1" s="77"/>
      <c r="D1" s="78" t="s">
        <v>18</v>
      </c>
      <c r="E1" s="78" t="s">
        <v>19</v>
      </c>
    </row>
    <row r="2" spans="1:19" ht="17.3" customHeight="1" x14ac:dyDescent="0.25">
      <c r="A2" s="25" t="s">
        <v>20</v>
      </c>
      <c r="B2" s="79" t="s">
        <v>21</v>
      </c>
      <c r="C2" s="79"/>
      <c r="D2" s="79"/>
      <c r="E2" s="79"/>
    </row>
    <row r="3" spans="1:19" ht="17.3" customHeight="1" x14ac:dyDescent="0.25">
      <c r="A3" s="76" t="s">
        <v>22</v>
      </c>
      <c r="B3" s="76"/>
      <c r="C3" s="76"/>
      <c r="D3" s="76"/>
      <c r="E3" s="76"/>
    </row>
    <row r="4" spans="1:19" ht="17.3" customHeight="1" x14ac:dyDescent="0.25">
      <c r="A4" s="26" t="s">
        <v>23</v>
      </c>
      <c r="B4" s="27">
        <v>1000</v>
      </c>
      <c r="C4" s="27">
        <v>3000</v>
      </c>
      <c r="D4" s="27">
        <v>7000</v>
      </c>
      <c r="E4" s="27">
        <v>10000</v>
      </c>
    </row>
    <row r="5" spans="1:19" ht="17.3" customHeight="1" x14ac:dyDescent="0.25">
      <c r="A5" s="26" t="s">
        <v>24</v>
      </c>
      <c r="B5" s="28">
        <v>13</v>
      </c>
      <c r="C5" s="28">
        <v>117</v>
      </c>
      <c r="D5" s="28">
        <v>633</v>
      </c>
      <c r="E5" s="28">
        <v>1101</v>
      </c>
    </row>
    <row r="6" spans="1:19" ht="17.3" customHeight="1" x14ac:dyDescent="0.25">
      <c r="A6" s="29" t="s">
        <v>25</v>
      </c>
      <c r="B6" s="30">
        <v>50</v>
      </c>
      <c r="C6" s="30">
        <v>461</v>
      </c>
      <c r="D6" s="30">
        <v>4644</v>
      </c>
      <c r="E6" s="30">
        <v>11709</v>
      </c>
      <c r="N6" s="22"/>
      <c r="O6" s="22"/>
      <c r="P6" s="22"/>
      <c r="Q6" s="22"/>
      <c r="R6" s="22"/>
      <c r="S6" s="22"/>
    </row>
    <row r="7" spans="1:19" ht="17.3" customHeight="1" x14ac:dyDescent="0.25">
      <c r="A7" s="26" t="s">
        <v>26</v>
      </c>
      <c r="B7" s="28">
        <v>64</v>
      </c>
      <c r="C7" s="28">
        <v>582</v>
      </c>
      <c r="D7" s="28">
        <v>5284</v>
      </c>
      <c r="E7" s="28">
        <v>12810</v>
      </c>
      <c r="N7" s="22"/>
      <c r="O7" s="22"/>
      <c r="P7" s="22"/>
      <c r="Q7" s="22"/>
      <c r="R7" s="22"/>
      <c r="S7" s="22"/>
    </row>
    <row r="8" spans="1:19" ht="17.3" customHeight="1" x14ac:dyDescent="0.25">
      <c r="A8" s="76" t="s">
        <v>27</v>
      </c>
      <c r="B8" s="76"/>
      <c r="C8" s="76"/>
      <c r="D8" s="76"/>
      <c r="E8" s="76"/>
      <c r="F8" s="31"/>
      <c r="G8" s="31"/>
      <c r="H8" s="31"/>
      <c r="I8" s="31"/>
      <c r="J8" s="31"/>
      <c r="K8" s="31"/>
      <c r="L8" s="31"/>
      <c r="N8" s="22"/>
      <c r="O8" s="22"/>
      <c r="P8" s="22"/>
      <c r="Q8" s="22"/>
      <c r="R8" s="22"/>
      <c r="S8" s="22"/>
    </row>
    <row r="9" spans="1:19" ht="17.3" customHeight="1" x14ac:dyDescent="0.25">
      <c r="A9" s="26" t="s">
        <v>23</v>
      </c>
      <c r="B9" s="27">
        <v>3000</v>
      </c>
      <c r="C9" s="27">
        <v>5000</v>
      </c>
      <c r="D9" s="27">
        <v>7000</v>
      </c>
      <c r="E9" s="27">
        <v>10000</v>
      </c>
      <c r="F9" s="31"/>
      <c r="G9" s="74" t="s">
        <v>29</v>
      </c>
      <c r="H9" s="80" t="s">
        <v>28</v>
      </c>
      <c r="I9" s="81"/>
      <c r="J9" s="81"/>
      <c r="K9" s="81"/>
      <c r="L9" s="81"/>
      <c r="N9" s="73" t="s">
        <v>29</v>
      </c>
      <c r="O9" s="83" t="s">
        <v>54</v>
      </c>
      <c r="P9" s="83"/>
      <c r="Q9" s="83"/>
      <c r="R9" s="83"/>
      <c r="S9" s="83"/>
    </row>
    <row r="10" spans="1:19" ht="17.3" customHeight="1" x14ac:dyDescent="0.25">
      <c r="A10" s="26" t="s">
        <v>24</v>
      </c>
      <c r="B10" s="28">
        <v>1175</v>
      </c>
      <c r="C10" s="28">
        <v>2668</v>
      </c>
      <c r="D10" s="28">
        <v>4787</v>
      </c>
      <c r="E10" s="28">
        <v>9358</v>
      </c>
      <c r="F10" s="31"/>
      <c r="G10" s="75"/>
      <c r="H10" s="33">
        <v>16</v>
      </c>
      <c r="I10" s="33">
        <v>32</v>
      </c>
      <c r="J10" s="35">
        <v>64</v>
      </c>
      <c r="K10" s="33">
        <v>128</v>
      </c>
      <c r="L10" s="33">
        <v>256</v>
      </c>
      <c r="N10" s="73"/>
      <c r="O10" s="82" t="s">
        <v>53</v>
      </c>
      <c r="P10" s="82"/>
      <c r="Q10" s="82"/>
      <c r="R10" s="82" t="s">
        <v>55</v>
      </c>
      <c r="S10" s="82"/>
    </row>
    <row r="11" spans="1:19" ht="17.3" customHeight="1" x14ac:dyDescent="0.25">
      <c r="A11" s="29" t="s">
        <v>25</v>
      </c>
      <c r="B11" s="30">
        <v>514</v>
      </c>
      <c r="C11" s="30">
        <v>719</v>
      </c>
      <c r="D11" s="30">
        <v>1689</v>
      </c>
      <c r="E11" s="30">
        <v>3658</v>
      </c>
      <c r="F11" s="31"/>
      <c r="G11" s="33">
        <v>5000</v>
      </c>
      <c r="H11" s="34">
        <v>1776</v>
      </c>
      <c r="I11" s="34">
        <v>946</v>
      </c>
      <c r="J11" s="36">
        <v>756</v>
      </c>
      <c r="K11" s="34">
        <v>801</v>
      </c>
      <c r="L11" s="34">
        <v>1520</v>
      </c>
      <c r="N11" s="41">
        <v>3000</v>
      </c>
      <c r="O11" s="84" t="s">
        <v>56</v>
      </c>
      <c r="P11" s="85"/>
      <c r="Q11" s="86"/>
      <c r="R11" s="84" t="e">
        <f>100 - ROUND(O11*100 /B11,2)</f>
        <v>#VALUE!</v>
      </c>
      <c r="S11" s="86"/>
    </row>
    <row r="12" spans="1:19" ht="17.3" customHeight="1" x14ac:dyDescent="0.25">
      <c r="A12" s="26" t="s">
        <v>26</v>
      </c>
      <c r="B12" s="28">
        <v>1689</v>
      </c>
      <c r="C12" s="28">
        <v>3387</v>
      </c>
      <c r="D12" s="28">
        <v>6476</v>
      </c>
      <c r="E12" s="28">
        <v>12974</v>
      </c>
      <c r="F12" s="31"/>
      <c r="G12" s="33">
        <v>10000</v>
      </c>
      <c r="H12" s="34">
        <v>10592</v>
      </c>
      <c r="I12" s="34">
        <v>5578</v>
      </c>
      <c r="J12" s="36">
        <v>3586</v>
      </c>
      <c r="K12" s="34">
        <v>3763</v>
      </c>
      <c r="L12" s="34">
        <v>4794</v>
      </c>
      <c r="N12" s="41">
        <v>5000</v>
      </c>
      <c r="O12" s="84" t="s">
        <v>56</v>
      </c>
      <c r="P12" s="85"/>
      <c r="Q12" s="86"/>
      <c r="R12" s="84" t="e">
        <f>100 - ROUND(O12*100 /C11,2)</f>
        <v>#VALUE!</v>
      </c>
      <c r="S12" s="86"/>
    </row>
    <row r="13" spans="1:19" ht="17.3" customHeight="1" x14ac:dyDescent="0.25">
      <c r="A13" s="76" t="s">
        <v>40</v>
      </c>
      <c r="B13" s="76"/>
      <c r="C13" s="76"/>
      <c r="D13" s="76"/>
      <c r="E13" s="76"/>
      <c r="F13" s="31"/>
      <c r="L13" s="31"/>
      <c r="N13" s="22"/>
      <c r="O13" s="22"/>
      <c r="P13" s="22"/>
      <c r="Q13" s="22"/>
      <c r="R13" s="22"/>
      <c r="S13" s="22"/>
    </row>
    <row r="14" spans="1:19" ht="17.3" customHeight="1" x14ac:dyDescent="0.25">
      <c r="A14" s="26" t="s">
        <v>23</v>
      </c>
      <c r="B14" s="27">
        <v>2000</v>
      </c>
      <c r="C14" s="27">
        <v>3000</v>
      </c>
      <c r="D14" s="27">
        <v>5000</v>
      </c>
      <c r="E14" s="27">
        <v>7000</v>
      </c>
      <c r="F14" s="31"/>
      <c r="G14" s="74" t="s">
        <v>29</v>
      </c>
      <c r="H14" s="58" t="s">
        <v>28</v>
      </c>
      <c r="I14" s="59"/>
      <c r="J14" s="59"/>
      <c r="K14" s="59"/>
      <c r="L14" s="31"/>
      <c r="N14" s="73" t="s">
        <v>29</v>
      </c>
      <c r="O14" s="83" t="s">
        <v>54</v>
      </c>
      <c r="P14" s="83"/>
      <c r="Q14" s="83"/>
      <c r="R14" s="83"/>
      <c r="S14" s="83"/>
    </row>
    <row r="15" spans="1:19" ht="17.3" customHeight="1" x14ac:dyDescent="0.25">
      <c r="A15" s="26" t="s">
        <v>24</v>
      </c>
      <c r="B15" s="28">
        <v>142</v>
      </c>
      <c r="C15" s="28">
        <v>318</v>
      </c>
      <c r="D15" s="28">
        <v>913</v>
      </c>
      <c r="E15" s="28">
        <v>1698</v>
      </c>
      <c r="F15" s="31"/>
      <c r="G15" s="75"/>
      <c r="H15" s="33">
        <v>16</v>
      </c>
      <c r="I15" s="35">
        <v>32</v>
      </c>
      <c r="J15" s="33">
        <v>64</v>
      </c>
      <c r="K15" s="33">
        <v>128</v>
      </c>
      <c r="L15" s="31"/>
      <c r="N15" s="73"/>
      <c r="O15" s="82" t="s">
        <v>53</v>
      </c>
      <c r="P15" s="82"/>
      <c r="Q15" s="82"/>
      <c r="R15" s="82" t="s">
        <v>55</v>
      </c>
      <c r="S15" s="82"/>
    </row>
    <row r="16" spans="1:19" ht="17.3" customHeight="1" x14ac:dyDescent="0.25">
      <c r="A16" s="29" t="s">
        <v>25</v>
      </c>
      <c r="B16" s="30">
        <v>1404</v>
      </c>
      <c r="C16" s="30">
        <v>4611</v>
      </c>
      <c r="D16" s="30">
        <v>21063</v>
      </c>
      <c r="E16" s="30">
        <v>57349</v>
      </c>
      <c r="F16" s="31"/>
      <c r="G16" s="33">
        <v>2000</v>
      </c>
      <c r="H16" s="34">
        <v>2256</v>
      </c>
      <c r="I16" s="36">
        <v>1332</v>
      </c>
      <c r="J16" s="34">
        <v>1844</v>
      </c>
      <c r="K16" s="34">
        <v>4329</v>
      </c>
      <c r="L16" s="31"/>
      <c r="N16" s="41">
        <v>2000</v>
      </c>
      <c r="O16" s="84" t="s">
        <v>56</v>
      </c>
      <c r="P16" s="85"/>
      <c r="Q16" s="86"/>
      <c r="R16" s="84" t="e">
        <f>100 - ROUND(O16*100 /B16,2)</f>
        <v>#VALUE!</v>
      </c>
      <c r="S16" s="86"/>
    </row>
    <row r="17" spans="1:19" ht="17.3" customHeight="1" x14ac:dyDescent="0.25">
      <c r="A17" s="26" t="s">
        <v>26</v>
      </c>
      <c r="B17" s="28">
        <v>1546</v>
      </c>
      <c r="C17" s="28">
        <v>4930</v>
      </c>
      <c r="D17" s="28">
        <v>21976</v>
      </c>
      <c r="E17" s="28">
        <v>59047</v>
      </c>
      <c r="F17" s="31"/>
      <c r="G17" s="33">
        <v>3000</v>
      </c>
      <c r="H17" s="34">
        <v>7481</v>
      </c>
      <c r="I17" s="36">
        <v>4620</v>
      </c>
      <c r="J17" s="34">
        <v>5585</v>
      </c>
      <c r="K17" s="34">
        <v>13227</v>
      </c>
      <c r="L17" s="31"/>
      <c r="N17" s="41">
        <v>3000</v>
      </c>
      <c r="O17" s="84" t="s">
        <v>56</v>
      </c>
      <c r="P17" s="85"/>
      <c r="Q17" s="86"/>
      <c r="R17" s="84" t="e">
        <f>100 - ROUND(O17*100 /C16,2)</f>
        <v>#VALUE!</v>
      </c>
      <c r="S17" s="86"/>
    </row>
    <row r="18" spans="1:19" ht="17.850000000000001" x14ac:dyDescent="0.25">
      <c r="F18" s="31"/>
      <c r="L18" s="31"/>
      <c r="N18" s="22"/>
      <c r="O18" s="22"/>
      <c r="P18" s="22"/>
      <c r="Q18" s="22"/>
      <c r="R18" s="22"/>
      <c r="S18" s="22"/>
    </row>
    <row r="19" spans="1:19" ht="17.850000000000001" x14ac:dyDescent="0.25">
      <c r="F19" s="31"/>
      <c r="G19" s="31"/>
      <c r="H19" s="31"/>
      <c r="I19" s="31"/>
      <c r="J19" s="31"/>
      <c r="K19" s="31"/>
      <c r="L19" s="31"/>
      <c r="N19" s="22"/>
      <c r="O19" s="22"/>
      <c r="P19" s="22"/>
      <c r="Q19" s="22"/>
      <c r="R19" s="22"/>
      <c r="S19" s="22"/>
    </row>
    <row r="20" spans="1:19" ht="20" customHeight="1" x14ac:dyDescent="0.25">
      <c r="F20" s="31"/>
      <c r="L20" s="31"/>
      <c r="N20" s="22"/>
      <c r="O20" s="22"/>
      <c r="P20" s="22"/>
      <c r="Q20" s="22"/>
      <c r="R20" s="22"/>
      <c r="S20" s="22"/>
    </row>
    <row r="21" spans="1:19" ht="20" customHeight="1" x14ac:dyDescent="0.25">
      <c r="F21" s="31"/>
      <c r="L21" s="31"/>
      <c r="N21" s="22"/>
      <c r="O21" s="22"/>
      <c r="P21" s="22"/>
      <c r="Q21" s="22"/>
      <c r="R21" s="22"/>
      <c r="S21" s="22"/>
    </row>
    <row r="22" spans="1:19" ht="20" customHeight="1" x14ac:dyDescent="0.25">
      <c r="F22" s="31"/>
      <c r="L22" s="31"/>
      <c r="N22" s="22"/>
      <c r="O22" s="22"/>
      <c r="P22" s="22"/>
      <c r="Q22" s="22"/>
      <c r="R22" s="22"/>
      <c r="S22" s="22"/>
    </row>
    <row r="23" spans="1:19" ht="20" customHeight="1" x14ac:dyDescent="0.25">
      <c r="F23" s="31"/>
      <c r="L23" s="31"/>
    </row>
    <row r="24" spans="1:19" ht="20" customHeight="1" x14ac:dyDescent="0.25">
      <c r="F24" s="20"/>
      <c r="G24" s="32"/>
      <c r="H24" s="32"/>
      <c r="I24" s="32"/>
      <c r="J24" s="32"/>
      <c r="K24" s="32"/>
      <c r="L24" s="20"/>
    </row>
    <row r="25" spans="1:19" ht="20" customHeight="1" x14ac:dyDescent="0.25">
      <c r="F25" s="20"/>
      <c r="G25" s="32"/>
      <c r="H25" s="32"/>
      <c r="I25" s="32"/>
      <c r="J25" s="32"/>
      <c r="K25" s="32"/>
      <c r="L25" s="20"/>
    </row>
    <row r="26" spans="1:19" ht="17.850000000000001" x14ac:dyDescent="0.25">
      <c r="F26" s="31"/>
      <c r="G26" s="31"/>
      <c r="H26" s="31"/>
      <c r="I26" s="31"/>
      <c r="J26" s="31"/>
      <c r="K26" s="31"/>
      <c r="L26" s="31"/>
    </row>
  </sheetData>
  <mergeCells count="26">
    <mergeCell ref="O16:Q16"/>
    <mergeCell ref="R16:S16"/>
    <mergeCell ref="O17:Q17"/>
    <mergeCell ref="R17:S17"/>
    <mergeCell ref="N9:N10"/>
    <mergeCell ref="N14:N15"/>
    <mergeCell ref="O10:Q10"/>
    <mergeCell ref="O15:Q15"/>
    <mergeCell ref="R10:S10"/>
    <mergeCell ref="O9:S9"/>
    <mergeCell ref="O14:S14"/>
    <mergeCell ref="R15:S15"/>
    <mergeCell ref="O11:Q11"/>
    <mergeCell ref="O12:Q12"/>
    <mergeCell ref="R11:S11"/>
    <mergeCell ref="R12:S12"/>
    <mergeCell ref="H14:K14"/>
    <mergeCell ref="G14:G15"/>
    <mergeCell ref="A13:E13"/>
    <mergeCell ref="A1:C1"/>
    <mergeCell ref="D1:E1"/>
    <mergeCell ref="B2:E2"/>
    <mergeCell ref="A3:E3"/>
    <mergeCell ref="A8:E8"/>
    <mergeCell ref="G9:G10"/>
    <mergeCell ref="H9:L9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tabSelected="1" topLeftCell="D46" zoomScaleNormal="100" workbookViewId="0">
      <selection activeCell="E36" sqref="E36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60" t="s">
        <v>1</v>
      </c>
      <c r="P1" s="61"/>
      <c r="Q1" s="61"/>
      <c r="R1" s="61"/>
      <c r="S1" s="61"/>
      <c r="T1" s="62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55" t="s">
        <v>2</v>
      </c>
      <c r="B2" s="63" t="s">
        <v>3</v>
      </c>
      <c r="C2" s="64"/>
      <c r="D2" s="64"/>
      <c r="E2" s="65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55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55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55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55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55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55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55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55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55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55"/>
      <c r="B12" s="63" t="s">
        <v>8</v>
      </c>
      <c r="C12" s="64"/>
      <c r="D12" s="64"/>
      <c r="E12" s="65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55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55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55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55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55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55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55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55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55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55"/>
      <c r="B22" s="63" t="s">
        <v>9</v>
      </c>
      <c r="C22" s="64"/>
      <c r="D22" s="64"/>
      <c r="E22" s="65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55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55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55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55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55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55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55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55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55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55"/>
      <c r="B32" s="9" t="s">
        <v>10</v>
      </c>
      <c r="C32" s="66" t="s">
        <v>11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8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52" t="s">
        <v>12</v>
      </c>
      <c r="B33" s="54" t="s">
        <v>3</v>
      </c>
      <c r="C33" s="54"/>
      <c r="D33" s="54"/>
      <c r="E33" s="54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9"/>
      <c r="AC33" s="19"/>
    </row>
    <row r="34" spans="1:29" ht="21.6" customHeight="1" x14ac:dyDescent="0.25">
      <c r="A34" s="53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9"/>
      <c r="AC34" s="19"/>
    </row>
    <row r="35" spans="1:29" ht="21.6" customHeight="1" x14ac:dyDescent="0.25">
      <c r="A35" s="53"/>
      <c r="B35" s="4">
        <v>1</v>
      </c>
      <c r="C35" s="6">
        <v>5420</v>
      </c>
      <c r="D35" s="6">
        <v>42432</v>
      </c>
      <c r="E35" s="6">
        <v>144977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9"/>
      <c r="AC35" s="19"/>
    </row>
    <row r="36" spans="1:29" ht="21.6" customHeight="1" x14ac:dyDescent="0.25">
      <c r="A36" s="53"/>
      <c r="B36" s="4">
        <v>2</v>
      </c>
      <c r="C36" s="6">
        <v>2713</v>
      </c>
      <c r="D36" s="6">
        <v>21304</v>
      </c>
      <c r="E36" s="6">
        <v>71552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9"/>
      <c r="AC36" s="19"/>
    </row>
    <row r="37" spans="1:29" ht="21.6" customHeight="1" x14ac:dyDescent="0.25">
      <c r="A37" s="53"/>
      <c r="B37" s="4">
        <v>4</v>
      </c>
      <c r="C37" s="6">
        <v>1401</v>
      </c>
      <c r="D37" s="6">
        <v>11216</v>
      </c>
      <c r="E37" s="6">
        <v>36660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9"/>
      <c r="AC37" s="19"/>
    </row>
    <row r="38" spans="1:29" ht="21.6" customHeight="1" x14ac:dyDescent="0.25">
      <c r="A38" s="53"/>
      <c r="B38" s="4">
        <v>6</v>
      </c>
      <c r="C38" s="6">
        <v>971</v>
      </c>
      <c r="D38" s="6">
        <v>7807</v>
      </c>
      <c r="E38" s="6">
        <v>25225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9"/>
      <c r="AC38" s="19"/>
    </row>
    <row r="39" spans="1:29" ht="21.6" customHeight="1" x14ac:dyDescent="0.25">
      <c r="A39" s="53"/>
      <c r="B39" s="4">
        <v>8</v>
      </c>
      <c r="C39" s="5">
        <v>803</v>
      </c>
      <c r="D39" s="6">
        <v>6310</v>
      </c>
      <c r="E39" s="6">
        <v>20733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9"/>
      <c r="AC39" s="19"/>
    </row>
    <row r="40" spans="1:29" ht="21.6" customHeight="1" x14ac:dyDescent="0.25">
      <c r="A40" s="53"/>
      <c r="B40" s="4">
        <v>10</v>
      </c>
      <c r="C40" s="5">
        <v>666</v>
      </c>
      <c r="D40" s="6">
        <v>5315</v>
      </c>
      <c r="E40" s="6">
        <v>16914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9"/>
      <c r="AC40" s="19"/>
    </row>
    <row r="41" spans="1:29" ht="21.6" customHeight="1" x14ac:dyDescent="0.25">
      <c r="A41" s="53"/>
      <c r="B41" s="4">
        <v>12</v>
      </c>
      <c r="C41" s="5">
        <v>568</v>
      </c>
      <c r="D41" s="6">
        <v>4635</v>
      </c>
      <c r="E41" s="6">
        <v>13976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9"/>
      <c r="AC41" s="19"/>
    </row>
    <row r="42" spans="1:29" ht="21.6" customHeight="1" x14ac:dyDescent="0.25">
      <c r="A42" s="53"/>
      <c r="B42" s="4">
        <v>14</v>
      </c>
      <c r="C42" s="5">
        <v>547</v>
      </c>
      <c r="D42" s="6">
        <v>4175</v>
      </c>
      <c r="E42" s="6">
        <v>13026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9"/>
      <c r="AC42" s="19"/>
    </row>
    <row r="43" spans="1:29" ht="21.6" customHeight="1" x14ac:dyDescent="0.25">
      <c r="A43" s="53"/>
      <c r="B43" s="4">
        <v>16</v>
      </c>
      <c r="C43" s="5">
        <v>515</v>
      </c>
      <c r="D43" s="6">
        <v>3919</v>
      </c>
      <c r="E43" s="6">
        <v>11592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9"/>
      <c r="AC43" s="19"/>
    </row>
    <row r="44" spans="1:29" ht="21.6" customHeight="1" x14ac:dyDescent="0.25">
      <c r="A44" s="53"/>
      <c r="B44" s="4">
        <v>18</v>
      </c>
      <c r="C44" s="5">
        <v>507</v>
      </c>
      <c r="D44" s="6">
        <v>3662</v>
      </c>
      <c r="E44" s="6">
        <v>11199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9"/>
      <c r="AC44" s="19"/>
    </row>
    <row r="45" spans="1:29" ht="21.6" customHeight="1" x14ac:dyDescent="0.25">
      <c r="A45" s="53"/>
      <c r="B45" s="4">
        <v>20</v>
      </c>
      <c r="C45" s="5">
        <v>487</v>
      </c>
      <c r="D45" s="6">
        <v>3489</v>
      </c>
      <c r="E45" s="6">
        <v>10302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9"/>
      <c r="AC45" s="19"/>
    </row>
    <row r="46" spans="1:29" ht="21.6" customHeight="1" x14ac:dyDescent="0.25">
      <c r="A46" s="53"/>
      <c r="B46" s="10">
        <v>40</v>
      </c>
      <c r="C46" s="11">
        <v>503</v>
      </c>
      <c r="D46" s="12">
        <v>3675</v>
      </c>
      <c r="E46" s="12">
        <v>10632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9"/>
      <c r="AC46" s="19"/>
    </row>
    <row r="47" spans="1:29" ht="21.6" customHeight="1" x14ac:dyDescent="0.25">
      <c r="A47" s="53"/>
      <c r="B47" s="54" t="s">
        <v>8</v>
      </c>
      <c r="C47" s="54"/>
      <c r="D47" s="54"/>
      <c r="E47" s="54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9"/>
      <c r="AC47" s="19"/>
    </row>
    <row r="48" spans="1:29" ht="21.6" customHeight="1" x14ac:dyDescent="0.25">
      <c r="A48" s="53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20"/>
      <c r="AC48" s="20"/>
    </row>
    <row r="49" spans="1:29" ht="21.6" customHeight="1" x14ac:dyDescent="0.25">
      <c r="A49" s="53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20"/>
      <c r="AC49" s="20"/>
    </row>
    <row r="50" spans="1:29" ht="21.6" customHeight="1" x14ac:dyDescent="0.25">
      <c r="A50" s="53"/>
      <c r="B50" s="4">
        <v>2</v>
      </c>
      <c r="C50" s="5">
        <f>ROUND(C35/C36,5)</f>
        <v>1.99779</v>
      </c>
      <c r="D50" s="5">
        <f>ROUND(D35/D36,5)</f>
        <v>1.9917400000000001</v>
      </c>
      <c r="E50" s="5">
        <f>ROUND(E35/E36,5)</f>
        <v>2.0261800000000001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20"/>
      <c r="AC50" s="20"/>
    </row>
    <row r="51" spans="1:29" ht="21.6" customHeight="1" x14ac:dyDescent="0.25">
      <c r="A51" s="53"/>
      <c r="B51" s="4">
        <v>4</v>
      </c>
      <c r="C51" s="5">
        <f>ROUND(C35/C37,5)</f>
        <v>3.8686699999999998</v>
      </c>
      <c r="D51" s="5">
        <f>ROUND(D35/D37,5)</f>
        <v>3.7831700000000001</v>
      </c>
      <c r="E51" s="5">
        <f>ROUND(E35/E37,5)</f>
        <v>3.9546399999999999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20"/>
      <c r="AC51" s="20"/>
    </row>
    <row r="52" spans="1:29" ht="21.6" customHeight="1" x14ac:dyDescent="0.25">
      <c r="A52" s="53"/>
      <c r="B52" s="4">
        <v>6</v>
      </c>
      <c r="C52" s="5">
        <f>ROUND(C35/C38,5)</f>
        <v>5.5818700000000003</v>
      </c>
      <c r="D52" s="5">
        <f>ROUND(D35/D38,5)</f>
        <v>5.4351200000000004</v>
      </c>
      <c r="E52" s="5">
        <f>ROUND(E35/E38,5)</f>
        <v>5.74735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20"/>
      <c r="AC52" s="20"/>
    </row>
    <row r="53" spans="1:29" ht="21.6" customHeight="1" x14ac:dyDescent="0.25">
      <c r="A53" s="53"/>
      <c r="B53" s="13">
        <v>8</v>
      </c>
      <c r="C53" s="14">
        <f>ROUND(C35/C39,5)</f>
        <v>6.7496900000000002</v>
      </c>
      <c r="D53" s="14">
        <f>ROUND(D35/D39,5)</f>
        <v>6.7245600000000003</v>
      </c>
      <c r="E53" s="14">
        <f>ROUND(E35/E39,5)</f>
        <v>6.9925699999999997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20"/>
      <c r="AC53" s="20"/>
    </row>
    <row r="54" spans="1:29" ht="21.6" customHeight="1" x14ac:dyDescent="0.25">
      <c r="A54" s="53"/>
      <c r="B54" s="4">
        <v>10</v>
      </c>
      <c r="C54" s="5">
        <f>ROUND(C35/C40,5)</f>
        <v>8.1381399999999999</v>
      </c>
      <c r="D54" s="5">
        <f>ROUND(D35/D40,5)</f>
        <v>7.9834399999999999</v>
      </c>
      <c r="E54" s="5">
        <f>ROUND(E35/E40,5)</f>
        <v>8.5714199999999998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20"/>
      <c r="AC54" s="20"/>
    </row>
    <row r="55" spans="1:29" ht="21.6" customHeight="1" x14ac:dyDescent="0.25">
      <c r="A55" s="53"/>
      <c r="B55" s="4">
        <v>12</v>
      </c>
      <c r="C55" s="5">
        <f>ROUND(C35/C41,5)</f>
        <v>9.5422499999999992</v>
      </c>
      <c r="D55" s="5">
        <f>ROUND(D$35/D41,5)</f>
        <v>9.1546900000000004</v>
      </c>
      <c r="E55" s="5">
        <f>ROUND(E$35/E41,5)</f>
        <v>10.373279999999999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20"/>
      <c r="AC55" s="20"/>
    </row>
    <row r="56" spans="1:29" ht="21.6" customHeight="1" x14ac:dyDescent="0.25">
      <c r="A56" s="53"/>
      <c r="B56" s="4">
        <v>14</v>
      </c>
      <c r="C56" s="5">
        <f>ROUND(C$35/C42,5)</f>
        <v>9.9085900000000002</v>
      </c>
      <c r="D56" s="5">
        <f t="shared" ref="D56:E60" si="3">ROUND(D$35/D42,5)</f>
        <v>10.163349999999999</v>
      </c>
      <c r="E56" s="5">
        <f t="shared" si="3"/>
        <v>11.12982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20"/>
      <c r="AC56" s="20"/>
    </row>
    <row r="57" spans="1:29" ht="21.6" customHeight="1" x14ac:dyDescent="0.25">
      <c r="A57" s="53"/>
      <c r="B57" s="4">
        <v>16</v>
      </c>
      <c r="C57" s="5">
        <f t="shared" ref="C57:C60" si="4">ROUND(C$35/C43,5)</f>
        <v>10.52427</v>
      </c>
      <c r="D57" s="5">
        <f t="shared" si="3"/>
        <v>10.827249999999999</v>
      </c>
      <c r="E57" s="5">
        <f t="shared" si="3"/>
        <v>12.506640000000001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9"/>
      <c r="AC57" s="19"/>
    </row>
    <row r="58" spans="1:29" ht="21.6" customHeight="1" x14ac:dyDescent="0.25">
      <c r="A58" s="53"/>
      <c r="B58" s="4">
        <v>18</v>
      </c>
      <c r="C58" s="5">
        <f t="shared" si="4"/>
        <v>10.690340000000001</v>
      </c>
      <c r="D58" s="5">
        <f t="shared" si="3"/>
        <v>11.587109999999999</v>
      </c>
      <c r="E58" s="5">
        <f t="shared" si="3"/>
        <v>12.94553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20"/>
      <c r="AC58" s="20"/>
    </row>
    <row r="59" spans="1:29" ht="21.6" customHeight="1" x14ac:dyDescent="0.25">
      <c r="A59" s="53"/>
      <c r="B59" s="4">
        <v>20</v>
      </c>
      <c r="C59" s="5">
        <f t="shared" si="4"/>
        <v>11.12936</v>
      </c>
      <c r="D59" s="5">
        <f t="shared" si="3"/>
        <v>12.16165</v>
      </c>
      <c r="E59" s="5">
        <f t="shared" si="3"/>
        <v>14.072699999999999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20"/>
      <c r="AC59" s="20"/>
    </row>
    <row r="60" spans="1:29" ht="21.6" customHeight="1" x14ac:dyDescent="0.25">
      <c r="A60" s="53"/>
      <c r="B60" s="10">
        <v>40</v>
      </c>
      <c r="C60" s="11">
        <f t="shared" si="4"/>
        <v>10.77535</v>
      </c>
      <c r="D60" s="11">
        <f t="shared" si="3"/>
        <v>11.54612</v>
      </c>
      <c r="E60" s="11">
        <f t="shared" si="3"/>
        <v>13.635910000000001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20"/>
      <c r="AC60" s="20"/>
    </row>
    <row r="61" spans="1:29" ht="21.6" customHeight="1" x14ac:dyDescent="0.25">
      <c r="A61" s="53"/>
      <c r="B61" s="54" t="s">
        <v>9</v>
      </c>
      <c r="C61" s="54"/>
      <c r="D61" s="54"/>
      <c r="E61" s="54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20"/>
      <c r="AC61" s="20"/>
    </row>
    <row r="62" spans="1:29" ht="21.6" customHeight="1" x14ac:dyDescent="0.25">
      <c r="A62" s="53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20"/>
      <c r="AC62" s="20"/>
    </row>
    <row r="63" spans="1:29" ht="21.6" customHeight="1" x14ac:dyDescent="0.25">
      <c r="A63" s="53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20"/>
      <c r="AC63" s="20"/>
    </row>
    <row r="64" spans="1:29" ht="21.6" customHeight="1" x14ac:dyDescent="0.25">
      <c r="A64" s="53"/>
      <c r="B64" s="4">
        <v>2</v>
      </c>
      <c r="C64" s="5">
        <f t="shared" si="5"/>
        <v>0.99890000000000001</v>
      </c>
      <c r="D64" s="5">
        <f t="shared" si="5"/>
        <v>0.99587000000000003</v>
      </c>
      <c r="E64" s="5">
        <f t="shared" si="5"/>
        <v>1.01309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20"/>
      <c r="AC64" s="20"/>
    </row>
    <row r="65" spans="1:30" ht="21.6" customHeight="1" x14ac:dyDescent="0.25">
      <c r="A65" s="53"/>
      <c r="B65" s="4">
        <v>4</v>
      </c>
      <c r="C65" s="5">
        <f t="shared" si="5"/>
        <v>0.96716999999999997</v>
      </c>
      <c r="D65" s="5">
        <f>ROUND(D51/$B51,5)</f>
        <v>0.94579000000000002</v>
      </c>
      <c r="E65" s="5">
        <f t="shared" si="5"/>
        <v>0.98865999999999998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20"/>
      <c r="AC65" s="20"/>
    </row>
    <row r="66" spans="1:30" ht="21.6" customHeight="1" x14ac:dyDescent="0.25">
      <c r="A66" s="53"/>
      <c r="B66" s="4">
        <v>6</v>
      </c>
      <c r="C66" s="5">
        <f t="shared" si="5"/>
        <v>0.93030999999999997</v>
      </c>
      <c r="D66" s="5">
        <f t="shared" si="5"/>
        <v>0.90585000000000004</v>
      </c>
      <c r="E66" s="5">
        <f t="shared" si="5"/>
        <v>0.95789000000000002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20"/>
      <c r="AC66" s="20"/>
    </row>
    <row r="67" spans="1:30" ht="21.6" customHeight="1" x14ac:dyDescent="0.25">
      <c r="A67" s="53"/>
      <c r="B67" s="15">
        <v>8</v>
      </c>
      <c r="C67" s="16">
        <f t="shared" si="5"/>
        <v>0.84370999999999996</v>
      </c>
      <c r="D67" s="16">
        <f t="shared" si="5"/>
        <v>0.84057000000000004</v>
      </c>
      <c r="E67" s="16">
        <f t="shared" si="5"/>
        <v>0.87407000000000001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20"/>
      <c r="AC67" s="20"/>
    </row>
    <row r="68" spans="1:30" ht="21.6" customHeight="1" x14ac:dyDescent="0.25">
      <c r="A68" s="53"/>
      <c r="B68" s="4">
        <v>10</v>
      </c>
      <c r="C68" s="5">
        <f t="shared" si="5"/>
        <v>0.81381000000000003</v>
      </c>
      <c r="D68" s="5">
        <f t="shared" si="5"/>
        <v>0.79834000000000005</v>
      </c>
      <c r="E68" s="5">
        <f t="shared" si="5"/>
        <v>0.85714000000000001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20"/>
      <c r="AC68" s="20"/>
    </row>
    <row r="69" spans="1:30" ht="21.6" customHeight="1" x14ac:dyDescent="0.25">
      <c r="A69" s="53"/>
      <c r="B69" s="4">
        <v>12</v>
      </c>
      <c r="C69" s="5">
        <f t="shared" si="5"/>
        <v>0.79518999999999995</v>
      </c>
      <c r="D69" s="5">
        <f t="shared" si="5"/>
        <v>0.76288999999999996</v>
      </c>
      <c r="E69" s="5">
        <f t="shared" si="5"/>
        <v>0.86443999999999999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9"/>
      <c r="AC69" s="19"/>
    </row>
    <row r="70" spans="1:30" ht="21.6" customHeight="1" x14ac:dyDescent="0.25">
      <c r="A70" s="53"/>
      <c r="B70" s="4">
        <v>14</v>
      </c>
      <c r="C70" s="5">
        <f t="shared" si="5"/>
        <v>0.70775999999999994</v>
      </c>
      <c r="D70" s="5">
        <f t="shared" si="5"/>
        <v>0.72594999999999998</v>
      </c>
      <c r="E70" s="5">
        <f t="shared" si="5"/>
        <v>0.79498999999999997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9"/>
      <c r="AC70" s="19"/>
    </row>
    <row r="71" spans="1:30" ht="21.6" customHeight="1" x14ac:dyDescent="0.25">
      <c r="A71" s="53"/>
      <c r="B71" s="4">
        <v>16</v>
      </c>
      <c r="C71" s="5">
        <f t="shared" si="5"/>
        <v>0.65776999999999997</v>
      </c>
      <c r="D71" s="5">
        <f t="shared" si="5"/>
        <v>0.67669999999999997</v>
      </c>
      <c r="E71" s="5">
        <f t="shared" si="5"/>
        <v>0.78166999999999998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20"/>
      <c r="AC71" s="20"/>
    </row>
    <row r="72" spans="1:30" ht="21.6" customHeight="1" x14ac:dyDescent="0.25">
      <c r="A72" s="53"/>
      <c r="B72" s="4">
        <v>18</v>
      </c>
      <c r="C72" s="5">
        <f t="shared" si="5"/>
        <v>0.59391000000000005</v>
      </c>
      <c r="D72" s="5">
        <f t="shared" si="5"/>
        <v>0.64373000000000002</v>
      </c>
      <c r="E72" s="5">
        <f t="shared" si="5"/>
        <v>0.71919999999999995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21"/>
      <c r="AC72" s="21"/>
      <c r="AD72" s="22"/>
    </row>
    <row r="73" spans="1:30" ht="21.6" customHeight="1" x14ac:dyDescent="0.25">
      <c r="A73" s="53"/>
      <c r="B73" s="4">
        <v>20</v>
      </c>
      <c r="C73" s="5">
        <f t="shared" si="5"/>
        <v>0.55647000000000002</v>
      </c>
      <c r="D73" s="5">
        <f t="shared" si="5"/>
        <v>0.60807999999999995</v>
      </c>
      <c r="E73" s="5">
        <f t="shared" si="5"/>
        <v>0.70364000000000004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21"/>
      <c r="AC73" s="21"/>
      <c r="AD73" s="22"/>
    </row>
    <row r="74" spans="1:30" ht="21.6" customHeight="1" x14ac:dyDescent="0.25">
      <c r="A74" s="53"/>
      <c r="B74" s="10">
        <v>40</v>
      </c>
      <c r="C74" s="11">
        <f t="shared" si="5"/>
        <v>0.26938000000000001</v>
      </c>
      <c r="D74" s="11">
        <f t="shared" si="5"/>
        <v>0.28865000000000002</v>
      </c>
      <c r="E74" s="11">
        <f t="shared" si="5"/>
        <v>0.34089999999999998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21"/>
      <c r="AC74" s="21"/>
      <c r="AD74" s="22"/>
    </row>
    <row r="75" spans="1:30" ht="21.6" customHeight="1" x14ac:dyDescent="0.25">
      <c r="A75" s="53"/>
      <c r="B75" s="9" t="s">
        <v>10</v>
      </c>
      <c r="C75" s="57" t="s">
        <v>14</v>
      </c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23"/>
      <c r="AC75" s="23"/>
      <c r="AD75" s="22"/>
    </row>
    <row r="76" spans="1:30" ht="21.6" customHeight="1" x14ac:dyDescent="0.25">
      <c r="A76" s="55" t="s">
        <v>15</v>
      </c>
      <c r="B76" s="54" t="s">
        <v>3</v>
      </c>
      <c r="C76" s="54"/>
      <c r="D76" s="54"/>
      <c r="E76" s="54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4"/>
      <c r="AC76" s="24"/>
      <c r="AD76" s="22"/>
    </row>
    <row r="77" spans="1:30" ht="21.6" customHeight="1" x14ac:dyDescent="0.25">
      <c r="A77" s="55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4"/>
      <c r="AC77" s="24"/>
      <c r="AD77" s="22"/>
    </row>
    <row r="78" spans="1:30" ht="21.6" customHeight="1" x14ac:dyDescent="0.25">
      <c r="A78" s="55"/>
      <c r="B78" s="4">
        <v>1</v>
      </c>
      <c r="C78" s="5">
        <v>10562</v>
      </c>
      <c r="D78" s="6">
        <v>36099</v>
      </c>
      <c r="E78" s="6">
        <v>167489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4"/>
      <c r="AC78" s="24"/>
      <c r="AD78" s="22"/>
    </row>
    <row r="79" spans="1:30" ht="21.6" customHeight="1" x14ac:dyDescent="0.25">
      <c r="A79" s="55"/>
      <c r="B79" s="4">
        <v>2</v>
      </c>
      <c r="C79" s="5">
        <v>5280</v>
      </c>
      <c r="D79" s="6">
        <v>17609</v>
      </c>
      <c r="E79" s="6">
        <v>80815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55"/>
      <c r="B80" s="4">
        <v>4</v>
      </c>
      <c r="C80" s="5">
        <v>2613</v>
      </c>
      <c r="D80" s="6">
        <v>8670</v>
      </c>
      <c r="E80" s="6">
        <v>39609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55"/>
      <c r="B81" s="4">
        <v>6</v>
      </c>
      <c r="C81" s="5">
        <v>1823</v>
      </c>
      <c r="D81" s="6">
        <v>5968</v>
      </c>
      <c r="E81" s="6">
        <v>27215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55"/>
      <c r="B82" s="4">
        <v>8</v>
      </c>
      <c r="C82" s="5">
        <v>1405</v>
      </c>
      <c r="D82" s="6">
        <v>4618</v>
      </c>
      <c r="E82" s="6">
        <v>20859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55"/>
      <c r="B83" s="54" t="s">
        <v>8</v>
      </c>
      <c r="C83" s="54"/>
      <c r="D83" s="54"/>
      <c r="E83" s="54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55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55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55"/>
      <c r="B86" s="3">
        <v>2</v>
      </c>
      <c r="C86" s="5">
        <f>C78/C79</f>
        <v>2.000378787878788</v>
      </c>
      <c r="D86" s="5">
        <f>D78/D79</f>
        <v>2.050031234028054</v>
      </c>
      <c r="E86" s="5">
        <f>E78/E79</f>
        <v>2.0724989172802077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55"/>
      <c r="B87" s="3">
        <v>4</v>
      </c>
      <c r="C87" s="5">
        <f>C78/C80</f>
        <v>4.0420972062763108</v>
      </c>
      <c r="D87" s="5">
        <f>D78/D80</f>
        <v>4.1636678200692039</v>
      </c>
      <c r="E87" s="5">
        <f>E78/E80</f>
        <v>4.2285591658461463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55"/>
      <c r="B88" s="3">
        <v>6</v>
      </c>
      <c r="C88" s="5">
        <f>C78/C81</f>
        <v>5.7937465715852987</v>
      </c>
      <c r="D88" s="5">
        <f>D78/D81</f>
        <v>6.0487600536193034</v>
      </c>
      <c r="E88" s="5">
        <f>E78/E81</f>
        <v>6.15428991365056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55"/>
      <c r="B89" s="17">
        <v>8</v>
      </c>
      <c r="C89" s="14">
        <f>C78/C82</f>
        <v>7.5174377224199285</v>
      </c>
      <c r="D89" s="14">
        <f>D78/D82</f>
        <v>7.817020355132092</v>
      </c>
      <c r="E89" s="14">
        <f>E78/E82</f>
        <v>8.0295795579845635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55"/>
      <c r="B90" s="54" t="s">
        <v>9</v>
      </c>
      <c r="C90" s="54"/>
      <c r="D90" s="54"/>
      <c r="E90" s="54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55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55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55"/>
      <c r="B93" s="3">
        <v>2</v>
      </c>
      <c r="C93" s="5">
        <f>C86/B86</f>
        <v>1.000189393939394</v>
      </c>
      <c r="D93" s="5">
        <f>D86/B86</f>
        <v>1.025015617014027</v>
      </c>
      <c r="E93" s="5">
        <f>E86/B86</f>
        <v>1.0362494586401039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55"/>
      <c r="B94" s="3">
        <v>4</v>
      </c>
      <c r="C94" s="5">
        <f>C87/B87</f>
        <v>1.0105243015690777</v>
      </c>
      <c r="D94" s="5">
        <f>D87/B87</f>
        <v>1.040916955017301</v>
      </c>
      <c r="E94" s="5">
        <f>E87/B87</f>
        <v>1.0571397914615366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55"/>
      <c r="B95" s="3">
        <v>6</v>
      </c>
      <c r="C95" s="5">
        <f>C88/B88</f>
        <v>0.96562442859754982</v>
      </c>
      <c r="D95" s="5">
        <f>D88/B88</f>
        <v>1.0081266756032172</v>
      </c>
      <c r="E95" s="5">
        <f>E88/B88</f>
        <v>1.0257149856084267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55"/>
      <c r="B96" s="18">
        <v>8</v>
      </c>
      <c r="C96" s="16">
        <f>C89/B89</f>
        <v>0.93967971530249106</v>
      </c>
      <c r="D96" s="16">
        <f>D89/B89</f>
        <v>0.9771275443915115</v>
      </c>
      <c r="E96" s="16">
        <f>E89/B89</f>
        <v>1.0036974447480704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55"/>
      <c r="B97" s="56" t="s">
        <v>10</v>
      </c>
      <c r="C97" s="56"/>
      <c r="D97" s="56"/>
      <c r="E97" s="56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55"/>
      <c r="B98" s="51" t="s">
        <v>30</v>
      </c>
      <c r="C98" s="51"/>
      <c r="D98" s="51"/>
      <c r="E98" s="51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55"/>
      <c r="B99" s="51"/>
      <c r="C99" s="51"/>
      <c r="D99" s="51"/>
      <c r="E99" s="51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55"/>
      <c r="B100" s="51"/>
      <c r="C100" s="51"/>
      <c r="D100" s="51"/>
      <c r="E100" s="51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55"/>
      <c r="B101" s="51"/>
      <c r="C101" s="51"/>
      <c r="D101" s="51"/>
      <c r="E101" s="51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55"/>
      <c r="B102" s="51"/>
      <c r="C102" s="51"/>
      <c r="D102" s="51"/>
      <c r="E102" s="51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55"/>
      <c r="B103" s="51"/>
      <c r="C103" s="51"/>
      <c r="D103" s="51"/>
      <c r="E103" s="51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55"/>
      <c r="B104" s="51"/>
      <c r="C104" s="51"/>
      <c r="D104" s="51"/>
      <c r="E104" s="51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55"/>
      <c r="B105" s="51"/>
      <c r="C105" s="51"/>
      <c r="D105" s="51"/>
      <c r="E105" s="51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A1:N1"/>
    <mergeCell ref="O1:T1"/>
    <mergeCell ref="A2:A32"/>
    <mergeCell ref="B2:E2"/>
    <mergeCell ref="B12:E12"/>
    <mergeCell ref="B22:E22"/>
    <mergeCell ref="C32:T32"/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37FA7A4C-9A01-4954-9425-A9EC480166D8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E454-2A83-42C9-B08D-66B87DC12445}">
  <dimension ref="A1:F45"/>
  <sheetViews>
    <sheetView workbookViewId="0">
      <selection activeCell="I12" sqref="I12"/>
    </sheetView>
  </sheetViews>
  <sheetFormatPr defaultRowHeight="13.55" x14ac:dyDescent="0.2"/>
  <cols>
    <col min="1" max="1" width="19.28515625" style="1" bestFit="1" customWidth="1"/>
    <col min="2" max="2" width="26" style="1" bestFit="1" customWidth="1"/>
    <col min="3" max="6" width="14.28515625" style="1" customWidth="1"/>
    <col min="7" max="26" width="11.7109375" style="1" customWidth="1"/>
    <col min="27" max="16384" width="9.140625" style="1"/>
  </cols>
  <sheetData>
    <row r="1" spans="1:6" ht="20" customHeight="1" x14ac:dyDescent="0.2">
      <c r="A1" s="73" t="s">
        <v>31</v>
      </c>
      <c r="B1" s="73"/>
      <c r="C1" s="73"/>
      <c r="D1" s="73"/>
      <c r="E1" s="73"/>
      <c r="F1" s="73"/>
    </row>
    <row r="2" spans="1:6" ht="20" customHeight="1" x14ac:dyDescent="0.2">
      <c r="A2" s="72" t="s">
        <v>32</v>
      </c>
      <c r="B2" s="72" t="s">
        <v>37</v>
      </c>
      <c r="C2" s="70" t="s">
        <v>33</v>
      </c>
      <c r="D2" s="70" t="s">
        <v>34</v>
      </c>
      <c r="E2" s="70" t="s">
        <v>35</v>
      </c>
      <c r="F2" s="70" t="s">
        <v>36</v>
      </c>
    </row>
    <row r="3" spans="1:6" ht="20" customHeight="1" x14ac:dyDescent="0.2">
      <c r="A3" s="72"/>
      <c r="B3" s="72"/>
      <c r="C3" s="70"/>
      <c r="D3" s="70"/>
      <c r="E3" s="70"/>
      <c r="F3" s="70"/>
    </row>
    <row r="4" spans="1:6" ht="20" customHeight="1" x14ac:dyDescent="0.2">
      <c r="A4" s="69">
        <v>3000</v>
      </c>
      <c r="B4" s="69">
        <v>4613</v>
      </c>
      <c r="C4" s="70" t="s">
        <v>38</v>
      </c>
      <c r="D4" s="70"/>
      <c r="E4" s="70"/>
      <c r="F4" s="70"/>
    </row>
    <row r="5" spans="1:6" ht="20" customHeight="1" x14ac:dyDescent="0.2">
      <c r="A5" s="69"/>
      <c r="B5" s="69"/>
      <c r="C5" s="34">
        <v>16.673999999999999</v>
      </c>
      <c r="D5" s="34">
        <v>405.66399999999999</v>
      </c>
      <c r="E5" s="34">
        <v>134.511</v>
      </c>
      <c r="F5" s="34">
        <v>4446.3580000000002</v>
      </c>
    </row>
    <row r="6" spans="1:6" ht="20" customHeight="1" x14ac:dyDescent="0.2">
      <c r="A6" s="69"/>
      <c r="B6" s="69"/>
      <c r="C6" s="70" t="s">
        <v>39</v>
      </c>
      <c r="D6" s="70"/>
      <c r="E6" s="70"/>
      <c r="F6" s="70"/>
    </row>
    <row r="7" spans="1:6" ht="20" customHeight="1" x14ac:dyDescent="0.2">
      <c r="A7" s="69"/>
      <c r="B7" s="69"/>
      <c r="C7" s="34">
        <f>ROUND(C5/$B4*100,2)</f>
        <v>0.36</v>
      </c>
      <c r="D7" s="34">
        <f>ROUND(D5/$B4*100,2)</f>
        <v>8.7899999999999991</v>
      </c>
      <c r="E7" s="34">
        <f t="shared" ref="E7:F7" si="0">ROUND(E5/$B4*100,2)</f>
        <v>2.92</v>
      </c>
      <c r="F7" s="34">
        <f t="shared" si="0"/>
        <v>96.39</v>
      </c>
    </row>
    <row r="8" spans="1:6" ht="20" customHeight="1" x14ac:dyDescent="0.2">
      <c r="A8" s="69">
        <v>5000</v>
      </c>
      <c r="B8" s="69">
        <v>21014</v>
      </c>
      <c r="C8" s="71" t="s">
        <v>38</v>
      </c>
      <c r="D8" s="71"/>
      <c r="E8" s="71"/>
      <c r="F8" s="71"/>
    </row>
    <row r="9" spans="1:6" ht="20" customHeight="1" x14ac:dyDescent="0.2">
      <c r="A9" s="69"/>
      <c r="B9" s="69"/>
      <c r="C9" s="34">
        <v>25.027000000000001</v>
      </c>
      <c r="D9" s="34">
        <v>1119.075</v>
      </c>
      <c r="E9" s="34">
        <v>358.17099999999999</v>
      </c>
      <c r="F9" s="34">
        <v>20573.175999999999</v>
      </c>
    </row>
    <row r="10" spans="1:6" ht="20" customHeight="1" x14ac:dyDescent="0.2">
      <c r="A10" s="69"/>
      <c r="B10" s="69"/>
      <c r="C10" s="70" t="s">
        <v>39</v>
      </c>
      <c r="D10" s="70"/>
      <c r="E10" s="70"/>
      <c r="F10" s="70"/>
    </row>
    <row r="11" spans="1:6" ht="20" customHeight="1" x14ac:dyDescent="0.2">
      <c r="A11" s="69"/>
      <c r="B11" s="69"/>
      <c r="C11" s="34">
        <f>ROUND(C9/$B8*100,2)</f>
        <v>0.12</v>
      </c>
      <c r="D11" s="34">
        <f>ROUND(D9/$B8*100,2)</f>
        <v>5.33</v>
      </c>
      <c r="E11" s="34">
        <f t="shared" ref="E11:F11" si="1">ROUND(E9/$B8*100,2)</f>
        <v>1.7</v>
      </c>
      <c r="F11" s="34">
        <f t="shared" si="1"/>
        <v>97.9</v>
      </c>
    </row>
    <row r="12" spans="1:6" ht="20" customHeight="1" x14ac:dyDescent="0.2">
      <c r="A12" s="69">
        <v>7000</v>
      </c>
      <c r="B12" s="69">
        <v>57613</v>
      </c>
      <c r="C12" s="70" t="s">
        <v>38</v>
      </c>
      <c r="D12" s="70"/>
      <c r="E12" s="70"/>
      <c r="F12" s="70"/>
    </row>
    <row r="13" spans="1:6" ht="20" customHeight="1" x14ac:dyDescent="0.2">
      <c r="A13" s="69"/>
      <c r="B13" s="69"/>
      <c r="C13" s="34">
        <v>90.486000000000004</v>
      </c>
      <c r="D13" s="34">
        <v>2039.7570000000001</v>
      </c>
      <c r="E13" s="34">
        <v>742.55700000000002</v>
      </c>
      <c r="F13" s="34">
        <v>56715.858</v>
      </c>
    </row>
    <row r="14" spans="1:6" ht="20" customHeight="1" x14ac:dyDescent="0.2">
      <c r="A14" s="69"/>
      <c r="B14" s="69"/>
      <c r="C14" s="70" t="s">
        <v>39</v>
      </c>
      <c r="D14" s="70"/>
      <c r="E14" s="70"/>
      <c r="F14" s="70"/>
    </row>
    <row r="15" spans="1:6" ht="20" customHeight="1" x14ac:dyDescent="0.2">
      <c r="A15" s="69"/>
      <c r="B15" s="69"/>
      <c r="C15" s="34">
        <f>ROUND(C13/$B12*100,2)</f>
        <v>0.16</v>
      </c>
      <c r="D15" s="34">
        <f>ROUND(D13/$B12*100,2)</f>
        <v>3.54</v>
      </c>
      <c r="E15" s="34">
        <f t="shared" ref="E15:F15" si="2">ROUND(E13/$B12*100,2)</f>
        <v>1.29</v>
      </c>
      <c r="F15" s="34">
        <f t="shared" si="2"/>
        <v>98.44</v>
      </c>
    </row>
    <row r="16" spans="1:6" ht="20" customHeight="1" x14ac:dyDescent="0.2">
      <c r="A16" s="49"/>
      <c r="B16" s="49"/>
      <c r="C16" s="50"/>
      <c r="D16" s="50"/>
      <c r="E16" s="50"/>
      <c r="F16" s="50"/>
    </row>
    <row r="17" spans="1:6" ht="20" customHeight="1" x14ac:dyDescent="0.2">
      <c r="A17" s="49"/>
      <c r="B17" s="49"/>
      <c r="C17" s="38"/>
      <c r="D17" s="38"/>
      <c r="E17" s="38"/>
      <c r="F17" s="38"/>
    </row>
    <row r="18" spans="1:6" ht="20" customHeight="1" x14ac:dyDescent="0.2">
      <c r="A18" s="49"/>
      <c r="B18" s="49"/>
      <c r="C18" s="50"/>
      <c r="D18" s="50"/>
      <c r="E18" s="50"/>
      <c r="F18" s="50"/>
    </row>
    <row r="19" spans="1:6" ht="20" customHeight="1" x14ac:dyDescent="0.2">
      <c r="A19" s="49"/>
      <c r="B19" s="49"/>
      <c r="C19" s="38"/>
      <c r="D19" s="38"/>
      <c r="E19" s="38"/>
      <c r="F19" s="38"/>
    </row>
    <row r="20" spans="1:6" ht="20" customHeight="1" x14ac:dyDescent="0.2"/>
    <row r="21" spans="1:6" ht="20" customHeight="1" x14ac:dyDescent="0.2"/>
    <row r="22" spans="1:6" ht="20" customHeight="1" x14ac:dyDescent="0.2"/>
    <row r="23" spans="1:6" ht="20" customHeight="1" x14ac:dyDescent="0.2"/>
    <row r="24" spans="1:6" ht="20" customHeight="1" x14ac:dyDescent="0.2"/>
    <row r="25" spans="1:6" ht="20" customHeight="1" x14ac:dyDescent="0.2"/>
    <row r="26" spans="1:6" ht="20" customHeight="1" x14ac:dyDescent="0.2"/>
    <row r="27" spans="1:6" ht="20" customHeight="1" x14ac:dyDescent="0.2"/>
    <row r="28" spans="1:6" ht="20" customHeight="1" x14ac:dyDescent="0.2"/>
    <row r="29" spans="1:6" ht="20" customHeight="1" x14ac:dyDescent="0.2"/>
    <row r="30" spans="1:6" ht="20" customHeight="1" x14ac:dyDescent="0.2"/>
    <row r="31" spans="1:6" ht="17.3" customHeight="1" x14ac:dyDescent="0.2"/>
    <row r="32" spans="1:6" ht="17.3" customHeight="1" x14ac:dyDescent="0.2"/>
    <row r="33" ht="17.3" customHeight="1" x14ac:dyDescent="0.2"/>
    <row r="34" ht="17.3" customHeight="1" x14ac:dyDescent="0.2"/>
    <row r="35" ht="17.3" customHeight="1" x14ac:dyDescent="0.2"/>
    <row r="36" ht="17.3" customHeight="1" x14ac:dyDescent="0.2"/>
    <row r="37" ht="17.3" customHeight="1" x14ac:dyDescent="0.2"/>
    <row r="38" ht="17.3" customHeight="1" x14ac:dyDescent="0.2"/>
    <row r="39" ht="17.3" customHeight="1" x14ac:dyDescent="0.2"/>
    <row r="40" ht="17.3" customHeight="1" x14ac:dyDescent="0.2"/>
    <row r="41" ht="17.3" customHeight="1" x14ac:dyDescent="0.2"/>
    <row r="42" ht="17.3" customHeight="1" x14ac:dyDescent="0.2"/>
    <row r="43" ht="17.3" customHeight="1" x14ac:dyDescent="0.2"/>
    <row r="44" ht="17.3" customHeight="1" x14ac:dyDescent="0.2"/>
    <row r="45" ht="17.3" customHeight="1" x14ac:dyDescent="0.2"/>
  </sheetData>
  <mergeCells count="19">
    <mergeCell ref="A2:A3"/>
    <mergeCell ref="C4:F4"/>
    <mergeCell ref="B2:B3"/>
    <mergeCell ref="A1:F1"/>
    <mergeCell ref="C6:F6"/>
    <mergeCell ref="C2:C3"/>
    <mergeCell ref="D2:D3"/>
    <mergeCell ref="E2:E3"/>
    <mergeCell ref="F2:F3"/>
    <mergeCell ref="A4:A7"/>
    <mergeCell ref="B4:B7"/>
    <mergeCell ref="A8:A11"/>
    <mergeCell ref="B8:B11"/>
    <mergeCell ref="A12:A15"/>
    <mergeCell ref="B12:B15"/>
    <mergeCell ref="C12:F12"/>
    <mergeCell ref="C14:F14"/>
    <mergeCell ref="C8:F8"/>
    <mergeCell ref="C10:F1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2B6-7842-488D-9BA9-218EFFDB7E51}">
  <dimension ref="A1:M56"/>
  <sheetViews>
    <sheetView workbookViewId="0">
      <selection activeCell="B57" sqref="B57"/>
    </sheetView>
  </sheetViews>
  <sheetFormatPr defaultRowHeight="17.850000000000001" x14ac:dyDescent="0.25"/>
  <cols>
    <col min="1" max="1" width="69" style="1" bestFit="1" customWidth="1"/>
    <col min="2" max="5" width="21.7109375" style="1" customWidth="1"/>
    <col min="6" max="6" width="21.7109375" style="31" customWidth="1"/>
    <col min="7" max="9" width="11.7109375" style="31" customWidth="1"/>
    <col min="10" max="12" width="11.7109375" style="1" customWidth="1"/>
    <col min="13" max="16384" width="9.140625" style="1"/>
  </cols>
  <sheetData>
    <row r="1" spans="1:13" ht="17.3" customHeight="1" x14ac:dyDescent="0.25">
      <c r="A1" s="73" t="s">
        <v>58</v>
      </c>
      <c r="B1" s="73"/>
      <c r="C1" s="73"/>
      <c r="D1" s="88" t="s">
        <v>63</v>
      </c>
      <c r="E1" s="88"/>
      <c r="F1" s="88"/>
    </row>
    <row r="2" spans="1:13" ht="17.3" customHeight="1" x14ac:dyDescent="0.25">
      <c r="A2" s="73"/>
      <c r="B2" s="73"/>
      <c r="C2" s="73"/>
      <c r="D2" s="88"/>
      <c r="E2" s="88"/>
      <c r="F2" s="88"/>
      <c r="G2" s="31" t="s">
        <v>45</v>
      </c>
    </row>
    <row r="3" spans="1:13" ht="17.3" customHeight="1" x14ac:dyDescent="0.25">
      <c r="A3" s="76" t="s">
        <v>22</v>
      </c>
      <c r="B3" s="76"/>
      <c r="C3" s="76"/>
      <c r="D3" s="76"/>
      <c r="E3" s="76"/>
      <c r="F3" s="48" t="s">
        <v>50</v>
      </c>
    </row>
    <row r="4" spans="1:13" ht="17.3" customHeight="1" x14ac:dyDescent="0.25">
      <c r="A4" s="26" t="s">
        <v>23</v>
      </c>
      <c r="B4" s="44">
        <v>1000</v>
      </c>
      <c r="C4" s="44">
        <v>3000</v>
      </c>
      <c r="D4" s="44">
        <v>7000</v>
      </c>
      <c r="E4" s="44">
        <v>10000</v>
      </c>
      <c r="F4" s="87">
        <f>ROUND(SUM(B7:E7)/4,2)</f>
        <v>69.91</v>
      </c>
    </row>
    <row r="5" spans="1:13" ht="17.3" customHeight="1" x14ac:dyDescent="0.25">
      <c r="A5" s="42" t="s">
        <v>41</v>
      </c>
      <c r="B5" s="43">
        <v>44</v>
      </c>
      <c r="C5" s="43">
        <v>454</v>
      </c>
      <c r="D5" s="43">
        <v>4432</v>
      </c>
      <c r="E5" s="43">
        <v>12310</v>
      </c>
      <c r="F5" s="87"/>
      <c r="G5" s="21"/>
      <c r="H5" s="21"/>
      <c r="I5" s="21"/>
      <c r="J5" s="24"/>
      <c r="K5" s="24"/>
      <c r="L5" s="24"/>
      <c r="M5" s="24"/>
    </row>
    <row r="6" spans="1:13" ht="17.3" customHeight="1" x14ac:dyDescent="0.25">
      <c r="A6" s="26" t="s">
        <v>59</v>
      </c>
      <c r="B6" s="28">
        <v>25</v>
      </c>
      <c r="C6" s="28">
        <v>408</v>
      </c>
      <c r="D6" s="28">
        <v>3188</v>
      </c>
      <c r="E6" s="28">
        <v>7513</v>
      </c>
      <c r="F6" s="87"/>
      <c r="G6" s="21"/>
      <c r="H6" s="21"/>
      <c r="I6" s="21"/>
      <c r="J6" s="24"/>
      <c r="K6" s="24"/>
      <c r="L6" s="24"/>
      <c r="M6" s="24"/>
    </row>
    <row r="7" spans="1:13" ht="17.3" customHeight="1" x14ac:dyDescent="0.25">
      <c r="A7" s="45" t="s">
        <v>60</v>
      </c>
      <c r="B7" s="46">
        <f>ROUND(B6*100/B5,2)</f>
        <v>56.82</v>
      </c>
      <c r="C7" s="46">
        <f t="shared" ref="C7:E7" si="0">ROUND(C6*100/C5,2)</f>
        <v>89.87</v>
      </c>
      <c r="D7" s="46">
        <f t="shared" si="0"/>
        <v>71.930000000000007</v>
      </c>
      <c r="E7" s="46">
        <f t="shared" si="0"/>
        <v>61.03</v>
      </c>
      <c r="F7" s="87"/>
      <c r="G7" s="21" t="s">
        <v>44</v>
      </c>
      <c r="H7" s="21"/>
      <c r="I7" s="21"/>
      <c r="J7" s="24"/>
      <c r="K7" s="24"/>
      <c r="L7" s="24"/>
      <c r="M7" s="24"/>
    </row>
    <row r="8" spans="1:13" ht="17.3" customHeight="1" x14ac:dyDescent="0.25">
      <c r="A8" s="76" t="s">
        <v>27</v>
      </c>
      <c r="B8" s="76"/>
      <c r="C8" s="76"/>
      <c r="D8" s="76"/>
      <c r="E8" s="76"/>
      <c r="F8" s="47"/>
      <c r="G8" s="21"/>
      <c r="H8" s="21"/>
      <c r="I8" s="21"/>
      <c r="J8" s="21"/>
      <c r="K8" s="21"/>
      <c r="L8" s="21"/>
      <c r="M8" s="24"/>
    </row>
    <row r="9" spans="1:13" ht="17.3" customHeight="1" x14ac:dyDescent="0.25">
      <c r="A9" s="26" t="s">
        <v>23</v>
      </c>
      <c r="B9" s="44">
        <v>3000</v>
      </c>
      <c r="C9" s="44">
        <v>5000</v>
      </c>
      <c r="D9" s="44">
        <v>7000</v>
      </c>
      <c r="E9" s="44">
        <v>10000</v>
      </c>
      <c r="F9" s="87">
        <f xml:space="preserve"> ROUND(SUM(B12:E12)/4,2)</f>
        <v>108.57</v>
      </c>
      <c r="G9" s="39"/>
      <c r="H9" s="39"/>
      <c r="I9" s="39"/>
      <c r="J9" s="39"/>
      <c r="K9" s="39"/>
      <c r="L9" s="39"/>
      <c r="M9" s="24"/>
    </row>
    <row r="10" spans="1:13" ht="17.3" customHeight="1" x14ac:dyDescent="0.25">
      <c r="A10" s="42" t="s">
        <v>41</v>
      </c>
      <c r="B10" s="43">
        <v>169</v>
      </c>
      <c r="C10" s="43">
        <v>522</v>
      </c>
      <c r="D10" s="43">
        <v>1230</v>
      </c>
      <c r="E10" s="43">
        <v>4092</v>
      </c>
      <c r="F10" s="87"/>
      <c r="G10" s="39"/>
      <c r="H10" s="37"/>
      <c r="I10" s="37"/>
      <c r="J10" s="37"/>
      <c r="K10" s="37"/>
      <c r="L10" s="37"/>
      <c r="M10" s="24"/>
    </row>
    <row r="11" spans="1:13" ht="17.3" customHeight="1" x14ac:dyDescent="0.25">
      <c r="A11" s="26" t="s">
        <v>59</v>
      </c>
      <c r="B11" s="28">
        <v>188</v>
      </c>
      <c r="C11" s="28">
        <v>563</v>
      </c>
      <c r="D11" s="28">
        <v>1383</v>
      </c>
      <c r="E11" s="28">
        <v>4204</v>
      </c>
      <c r="F11" s="87"/>
      <c r="G11" s="37"/>
      <c r="H11" s="38"/>
      <c r="I11" s="38"/>
      <c r="J11" s="38"/>
      <c r="K11" s="38"/>
      <c r="L11" s="38"/>
      <c r="M11" s="24"/>
    </row>
    <row r="12" spans="1:13" ht="17.3" customHeight="1" x14ac:dyDescent="0.25">
      <c r="A12" s="45" t="s">
        <v>60</v>
      </c>
      <c r="B12" s="46">
        <f>ROUND(B11*100/B10,2)</f>
        <v>111.24</v>
      </c>
      <c r="C12" s="46">
        <f t="shared" ref="C12:E12" si="1">ROUND(C11*100/C10,2)</f>
        <v>107.85</v>
      </c>
      <c r="D12" s="46">
        <f t="shared" si="1"/>
        <v>112.44</v>
      </c>
      <c r="E12" s="46">
        <f t="shared" si="1"/>
        <v>102.74</v>
      </c>
      <c r="F12" s="87"/>
      <c r="G12" s="21" t="s">
        <v>42</v>
      </c>
      <c r="H12" s="38"/>
      <c r="I12" s="38"/>
      <c r="J12" s="38"/>
      <c r="K12" s="38"/>
      <c r="L12" s="38"/>
      <c r="M12" s="24"/>
    </row>
    <row r="13" spans="1:13" ht="17.3" customHeight="1" x14ac:dyDescent="0.25">
      <c r="A13" s="76" t="s">
        <v>66</v>
      </c>
      <c r="B13" s="76"/>
      <c r="C13" s="76"/>
      <c r="D13" s="76"/>
      <c r="E13" s="76"/>
      <c r="F13" s="47"/>
      <c r="G13" s="21"/>
      <c r="H13" s="21"/>
      <c r="I13" s="21"/>
      <c r="J13" s="24"/>
      <c r="K13" s="24"/>
      <c r="L13" s="21"/>
      <c r="M13" s="24"/>
    </row>
    <row r="14" spans="1:13" ht="17.3" customHeight="1" x14ac:dyDescent="0.25">
      <c r="A14" s="26" t="s">
        <v>23</v>
      </c>
      <c r="B14" s="44">
        <v>2000</v>
      </c>
      <c r="C14" s="44">
        <v>3000</v>
      </c>
      <c r="D14" s="44">
        <v>5000</v>
      </c>
      <c r="E14" s="44">
        <v>7000</v>
      </c>
      <c r="F14" s="87">
        <f>ROUND(SUM(B17:E17)/4,2)</f>
        <v>136.30000000000001</v>
      </c>
      <c r="G14" s="39"/>
      <c r="H14" s="40"/>
      <c r="I14" s="40"/>
      <c r="J14" s="40"/>
      <c r="K14" s="40"/>
      <c r="L14" s="21"/>
      <c r="M14" s="24"/>
    </row>
    <row r="15" spans="1:13" ht="17.3" customHeight="1" x14ac:dyDescent="0.25">
      <c r="A15" s="42" t="s">
        <v>41</v>
      </c>
      <c r="B15" s="43">
        <v>1402</v>
      </c>
      <c r="C15" s="43">
        <v>4601</v>
      </c>
      <c r="D15" s="43">
        <v>20947</v>
      </c>
      <c r="E15" s="43">
        <v>60964</v>
      </c>
      <c r="F15" s="87"/>
      <c r="G15" s="39"/>
      <c r="H15" s="37"/>
      <c r="I15" s="37"/>
      <c r="J15" s="37"/>
      <c r="K15" s="37"/>
      <c r="L15" s="21"/>
      <c r="M15" s="24"/>
    </row>
    <row r="16" spans="1:13" ht="17.3" customHeight="1" x14ac:dyDescent="0.25">
      <c r="A16" s="26" t="s">
        <v>59</v>
      </c>
      <c r="B16" s="28">
        <v>2260</v>
      </c>
      <c r="C16" s="28">
        <v>6671</v>
      </c>
      <c r="D16" s="28">
        <v>26654</v>
      </c>
      <c r="E16" s="28">
        <v>68131</v>
      </c>
      <c r="F16" s="87"/>
      <c r="G16" s="37"/>
      <c r="H16" s="38"/>
      <c r="I16" s="38"/>
      <c r="J16" s="38"/>
      <c r="K16" s="38"/>
      <c r="L16" s="21"/>
      <c r="M16" s="24"/>
    </row>
    <row r="17" spans="1:13" ht="17.3" customHeight="1" x14ac:dyDescent="0.25">
      <c r="A17" s="45" t="s">
        <v>60</v>
      </c>
      <c r="B17" s="46">
        <f>ROUND(B16*100/B15,2)</f>
        <v>161.19999999999999</v>
      </c>
      <c r="C17" s="46">
        <f t="shared" ref="C17:E17" si="2">ROUND(C16*100/C15,2)</f>
        <v>144.99</v>
      </c>
      <c r="D17" s="46">
        <f t="shared" si="2"/>
        <v>127.24</v>
      </c>
      <c r="E17" s="46">
        <f t="shared" si="2"/>
        <v>111.76</v>
      </c>
      <c r="F17" s="87"/>
      <c r="G17" s="21" t="s">
        <v>43</v>
      </c>
      <c r="H17" s="38"/>
      <c r="I17" s="38"/>
      <c r="J17" s="38"/>
      <c r="K17" s="38"/>
      <c r="L17" s="21"/>
      <c r="M17" s="24"/>
    </row>
    <row r="18" spans="1:13" x14ac:dyDescent="0.25">
      <c r="A18" s="56" t="s">
        <v>10</v>
      </c>
      <c r="B18" s="51" t="s">
        <v>51</v>
      </c>
      <c r="C18" s="51"/>
      <c r="D18" s="51"/>
      <c r="E18" s="51"/>
      <c r="F18" s="51"/>
      <c r="G18" s="21"/>
      <c r="H18" s="21"/>
      <c r="I18" s="21"/>
      <c r="J18" s="24"/>
      <c r="K18" s="24"/>
      <c r="L18" s="21"/>
      <c r="M18" s="24"/>
    </row>
    <row r="19" spans="1:13" x14ac:dyDescent="0.25">
      <c r="A19" s="56"/>
      <c r="B19" s="51"/>
      <c r="C19" s="51"/>
      <c r="D19" s="51"/>
      <c r="E19" s="51"/>
      <c r="F19" s="51"/>
      <c r="I19" s="21"/>
      <c r="J19" s="21"/>
      <c r="K19" s="21"/>
      <c r="L19" s="21"/>
      <c r="M19" s="24"/>
    </row>
    <row r="20" spans="1:13" ht="20" customHeight="1" x14ac:dyDescent="0.25">
      <c r="A20" s="73" t="s">
        <v>57</v>
      </c>
      <c r="B20" s="73"/>
      <c r="C20" s="73"/>
      <c r="D20" s="73"/>
      <c r="E20" s="73"/>
      <c r="F20" s="73"/>
      <c r="G20" s="21"/>
      <c r="H20" s="21"/>
      <c r="I20" s="21"/>
      <c r="J20" s="24"/>
      <c r="K20" s="24"/>
      <c r="L20" s="21"/>
      <c r="M20" s="24"/>
    </row>
    <row r="21" spans="1:13" ht="20" customHeight="1" x14ac:dyDescent="0.25">
      <c r="A21" s="73"/>
      <c r="B21" s="73"/>
      <c r="C21" s="73"/>
      <c r="D21" s="73"/>
      <c r="E21" s="73"/>
      <c r="F21" s="73"/>
      <c r="G21" s="31" t="s">
        <v>46</v>
      </c>
      <c r="H21" s="21"/>
      <c r="L21" s="31"/>
    </row>
    <row r="22" spans="1:13" ht="20" customHeight="1" x14ac:dyDescent="0.25">
      <c r="A22" s="76" t="s">
        <v>22</v>
      </c>
      <c r="B22" s="76"/>
      <c r="C22" s="76"/>
      <c r="D22" s="76"/>
      <c r="E22" s="76"/>
      <c r="F22" s="48" t="s">
        <v>50</v>
      </c>
      <c r="L22" s="31"/>
    </row>
    <row r="23" spans="1:13" ht="20" customHeight="1" x14ac:dyDescent="0.25">
      <c r="A23" s="26" t="s">
        <v>23</v>
      </c>
      <c r="B23" s="44">
        <v>1000</v>
      </c>
      <c r="C23" s="44">
        <v>3000</v>
      </c>
      <c r="D23" s="44">
        <v>7000</v>
      </c>
      <c r="E23" s="44">
        <v>10000</v>
      </c>
      <c r="F23" s="87">
        <f>ROUND(SUM(B26:E26)/4,2)</f>
        <v>66.05</v>
      </c>
      <c r="L23" s="31"/>
    </row>
    <row r="24" spans="1:13" ht="20" customHeight="1" x14ac:dyDescent="0.25">
      <c r="A24" s="42" t="s">
        <v>41</v>
      </c>
      <c r="B24" s="43">
        <v>44</v>
      </c>
      <c r="C24" s="43">
        <v>453</v>
      </c>
      <c r="D24" s="43">
        <v>4553</v>
      </c>
      <c r="E24" s="43">
        <v>11513</v>
      </c>
      <c r="F24" s="87"/>
      <c r="I24" s="32"/>
      <c r="J24" s="32"/>
      <c r="K24" s="32"/>
      <c r="L24" s="20"/>
    </row>
    <row r="25" spans="1:13" ht="20" customHeight="1" x14ac:dyDescent="0.25">
      <c r="A25" s="26" t="s">
        <v>59</v>
      </c>
      <c r="B25" s="28">
        <v>23</v>
      </c>
      <c r="C25" s="28">
        <v>361</v>
      </c>
      <c r="D25" s="28">
        <v>2745</v>
      </c>
      <c r="E25" s="28">
        <v>8285</v>
      </c>
      <c r="F25" s="87"/>
      <c r="G25" s="32"/>
      <c r="H25" s="32"/>
      <c r="I25" s="32"/>
      <c r="J25" s="32"/>
      <c r="K25" s="32"/>
      <c r="L25" s="20"/>
    </row>
    <row r="26" spans="1:13" x14ac:dyDescent="0.25">
      <c r="A26" s="45" t="s">
        <v>60</v>
      </c>
      <c r="B26" s="46">
        <f>ROUND(B25*100/B24,2)</f>
        <v>52.27</v>
      </c>
      <c r="C26" s="46">
        <f t="shared" ref="C26:E26" si="3">ROUND(C25*100/C24,2)</f>
        <v>79.69</v>
      </c>
      <c r="D26" s="46">
        <f t="shared" si="3"/>
        <v>60.29</v>
      </c>
      <c r="E26" s="46">
        <f t="shared" si="3"/>
        <v>71.959999999999994</v>
      </c>
      <c r="F26" s="87"/>
      <c r="G26" s="20" t="s">
        <v>47</v>
      </c>
      <c r="H26" s="32"/>
      <c r="J26" s="31"/>
      <c r="K26" s="31"/>
      <c r="L26" s="31"/>
    </row>
    <row r="27" spans="1:13" x14ac:dyDescent="0.25">
      <c r="A27" s="76" t="s">
        <v>27</v>
      </c>
      <c r="B27" s="76"/>
      <c r="C27" s="76"/>
      <c r="D27" s="76"/>
      <c r="E27" s="76"/>
      <c r="F27" s="47"/>
    </row>
    <row r="28" spans="1:13" x14ac:dyDescent="0.25">
      <c r="A28" s="26" t="s">
        <v>23</v>
      </c>
      <c r="B28" s="44">
        <v>3000</v>
      </c>
      <c r="C28" s="44">
        <v>5000</v>
      </c>
      <c r="D28" s="44">
        <v>7000</v>
      </c>
      <c r="E28" s="44">
        <v>10000</v>
      </c>
      <c r="F28" s="87">
        <f>ROUND(SUM(B31:E31)/4,2)</f>
        <v>72.94</v>
      </c>
    </row>
    <row r="29" spans="1:13" x14ac:dyDescent="0.25">
      <c r="A29" s="42" t="s">
        <v>41</v>
      </c>
      <c r="B29" s="43">
        <v>167</v>
      </c>
      <c r="C29" s="43">
        <v>513</v>
      </c>
      <c r="D29" s="43">
        <v>1319</v>
      </c>
      <c r="E29" s="43">
        <v>3403</v>
      </c>
      <c r="F29" s="87"/>
    </row>
    <row r="30" spans="1:13" x14ac:dyDescent="0.25">
      <c r="A30" s="26" t="s">
        <v>59</v>
      </c>
      <c r="B30" s="28">
        <v>137</v>
      </c>
      <c r="C30" s="28">
        <v>421</v>
      </c>
      <c r="D30" s="28">
        <v>878</v>
      </c>
      <c r="E30" s="28">
        <v>2079</v>
      </c>
      <c r="F30" s="87"/>
    </row>
    <row r="31" spans="1:13" x14ac:dyDescent="0.25">
      <c r="A31" s="45" t="s">
        <v>60</v>
      </c>
      <c r="B31" s="46">
        <f>ROUND(B30*100/B29,2)</f>
        <v>82.04</v>
      </c>
      <c r="C31" s="46">
        <f t="shared" ref="C31:E31" si="4">ROUND(C30*100/C29,2)</f>
        <v>82.07</v>
      </c>
      <c r="D31" s="46">
        <f t="shared" si="4"/>
        <v>66.569999999999993</v>
      </c>
      <c r="E31" s="46">
        <f t="shared" si="4"/>
        <v>61.09</v>
      </c>
      <c r="F31" s="87"/>
      <c r="G31" s="21" t="s">
        <v>48</v>
      </c>
    </row>
    <row r="32" spans="1:13" x14ac:dyDescent="0.25">
      <c r="A32" s="76" t="s">
        <v>66</v>
      </c>
      <c r="B32" s="76"/>
      <c r="C32" s="76"/>
      <c r="D32" s="76"/>
      <c r="E32" s="76"/>
      <c r="F32" s="47"/>
    </row>
    <row r="33" spans="1:7" x14ac:dyDescent="0.25">
      <c r="A33" s="26" t="s">
        <v>23</v>
      </c>
      <c r="B33" s="44">
        <v>2000</v>
      </c>
      <c r="C33" s="44">
        <v>3000</v>
      </c>
      <c r="D33" s="44">
        <v>5000</v>
      </c>
      <c r="E33" s="44">
        <v>7000</v>
      </c>
      <c r="F33" s="87">
        <f>ROUND(SUM(B36:E36)/4,2)</f>
        <v>138.07</v>
      </c>
    </row>
    <row r="34" spans="1:7" x14ac:dyDescent="0.25">
      <c r="A34" s="42" t="s">
        <v>41</v>
      </c>
      <c r="B34" s="43">
        <v>1402</v>
      </c>
      <c r="C34" s="43">
        <v>4607</v>
      </c>
      <c r="D34" s="43">
        <v>20892</v>
      </c>
      <c r="E34" s="43">
        <v>57466</v>
      </c>
      <c r="F34" s="87"/>
    </row>
    <row r="35" spans="1:7" x14ac:dyDescent="0.25">
      <c r="A35" s="26" t="s">
        <v>59</v>
      </c>
      <c r="B35" s="28">
        <v>2248</v>
      </c>
      <c r="C35" s="28">
        <v>6697</v>
      </c>
      <c r="D35" s="28">
        <v>26675</v>
      </c>
      <c r="E35" s="28">
        <v>68314</v>
      </c>
      <c r="F35" s="87"/>
    </row>
    <row r="36" spans="1:7" x14ac:dyDescent="0.25">
      <c r="A36" s="45" t="s">
        <v>60</v>
      </c>
      <c r="B36" s="46">
        <f>ROUND(B35*100/B34,2)</f>
        <v>160.34</v>
      </c>
      <c r="C36" s="46">
        <f t="shared" ref="C36:E36" si="5">ROUND(C35*100/C34,2)</f>
        <v>145.37</v>
      </c>
      <c r="D36" s="46">
        <f t="shared" si="5"/>
        <v>127.68</v>
      </c>
      <c r="E36" s="46">
        <f t="shared" si="5"/>
        <v>118.88</v>
      </c>
      <c r="F36" s="87"/>
      <c r="G36" s="31" t="s">
        <v>49</v>
      </c>
    </row>
    <row r="37" spans="1:7" x14ac:dyDescent="0.25">
      <c r="A37" s="56" t="s">
        <v>10</v>
      </c>
      <c r="B37" s="51" t="s">
        <v>52</v>
      </c>
      <c r="C37" s="51"/>
      <c r="D37" s="51"/>
      <c r="E37" s="51"/>
      <c r="F37" s="51"/>
    </row>
    <row r="38" spans="1:7" x14ac:dyDescent="0.25">
      <c r="A38" s="56"/>
      <c r="B38" s="51"/>
      <c r="C38" s="51"/>
      <c r="D38" s="51"/>
      <c r="E38" s="51"/>
      <c r="F38" s="51"/>
    </row>
    <row r="39" spans="1:7" ht="17.850000000000001" customHeight="1" x14ac:dyDescent="0.25">
      <c r="A39" s="73" t="s">
        <v>62</v>
      </c>
      <c r="B39" s="73"/>
      <c r="C39" s="73"/>
      <c r="D39" s="88" t="s">
        <v>64</v>
      </c>
      <c r="E39" s="88"/>
      <c r="F39" s="88"/>
    </row>
    <row r="40" spans="1:7" x14ac:dyDescent="0.25">
      <c r="A40" s="73"/>
      <c r="B40" s="73"/>
      <c r="C40" s="73"/>
      <c r="D40" s="88"/>
      <c r="E40" s="88"/>
      <c r="F40" s="88"/>
    </row>
    <row r="41" spans="1:7" x14ac:dyDescent="0.25">
      <c r="A41" s="73"/>
      <c r="B41" s="73"/>
      <c r="C41" s="73"/>
      <c r="D41" s="88"/>
      <c r="E41" s="88"/>
      <c r="F41" s="88"/>
    </row>
    <row r="42" spans="1:7" x14ac:dyDescent="0.25">
      <c r="A42" s="76" t="s">
        <v>22</v>
      </c>
      <c r="B42" s="76"/>
      <c r="C42" s="76"/>
      <c r="D42" s="76"/>
      <c r="E42" s="76"/>
      <c r="F42" s="48" t="s">
        <v>50</v>
      </c>
    </row>
    <row r="43" spans="1:7" x14ac:dyDescent="0.25">
      <c r="A43" s="26" t="s">
        <v>23</v>
      </c>
      <c r="B43" s="44">
        <v>1000</v>
      </c>
      <c r="C43" s="44">
        <v>3000</v>
      </c>
      <c r="D43" s="44">
        <v>7000</v>
      </c>
      <c r="E43" s="44">
        <v>10000</v>
      </c>
      <c r="F43" s="87">
        <f>ROUND(SUM(B46:E46)/4,2)</f>
        <v>35.549999999999997</v>
      </c>
    </row>
    <row r="44" spans="1:7" x14ac:dyDescent="0.25">
      <c r="A44" s="42" t="s">
        <v>41</v>
      </c>
      <c r="B44" s="43">
        <v>42</v>
      </c>
      <c r="C44" s="43">
        <v>454</v>
      </c>
      <c r="D44" s="43">
        <v>4514</v>
      </c>
      <c r="E44" s="43">
        <v>11814</v>
      </c>
      <c r="F44" s="87"/>
    </row>
    <row r="45" spans="1:7" x14ac:dyDescent="0.25">
      <c r="A45" s="26" t="s">
        <v>59</v>
      </c>
      <c r="B45" s="28">
        <v>8</v>
      </c>
      <c r="C45" s="28">
        <v>164</v>
      </c>
      <c r="D45" s="28">
        <v>1905</v>
      </c>
      <c r="E45" s="28">
        <v>5295</v>
      </c>
      <c r="F45" s="87"/>
    </row>
    <row r="46" spans="1:7" x14ac:dyDescent="0.25">
      <c r="A46" s="45" t="s">
        <v>60</v>
      </c>
      <c r="B46" s="46">
        <f>ROUND(B45*100/B44,2)</f>
        <v>19.05</v>
      </c>
      <c r="C46" s="46">
        <f t="shared" ref="C46:E46" si="6">ROUND(C45*100/C44,2)</f>
        <v>36.119999999999997</v>
      </c>
      <c r="D46" s="46">
        <f t="shared" si="6"/>
        <v>42.2</v>
      </c>
      <c r="E46" s="46">
        <f t="shared" si="6"/>
        <v>44.82</v>
      </c>
      <c r="F46" s="87"/>
    </row>
    <row r="47" spans="1:7" x14ac:dyDescent="0.25">
      <c r="A47" s="76" t="s">
        <v>27</v>
      </c>
      <c r="B47" s="76"/>
      <c r="C47" s="76"/>
      <c r="D47" s="76"/>
      <c r="E47" s="76"/>
      <c r="F47" s="47"/>
      <c r="G47" s="31" t="s">
        <v>61</v>
      </c>
    </row>
    <row r="48" spans="1:7" x14ac:dyDescent="0.25">
      <c r="A48" s="26" t="s">
        <v>23</v>
      </c>
      <c r="B48" s="44">
        <v>3000</v>
      </c>
      <c r="C48" s="44">
        <v>5000</v>
      </c>
      <c r="D48" s="44">
        <v>7000</v>
      </c>
      <c r="E48" s="44">
        <v>10000</v>
      </c>
      <c r="F48" s="87">
        <f>ROUND(SUM(B51:E51)/4,2)</f>
        <v>39.020000000000003</v>
      </c>
    </row>
    <row r="49" spans="1:6" x14ac:dyDescent="0.25">
      <c r="A49" s="42" t="s">
        <v>41</v>
      </c>
      <c r="B49" s="43">
        <v>196</v>
      </c>
      <c r="C49" s="43">
        <v>548</v>
      </c>
      <c r="D49" s="43">
        <v>1436</v>
      </c>
      <c r="E49" s="43">
        <v>3802</v>
      </c>
      <c r="F49" s="87"/>
    </row>
    <row r="50" spans="1:6" x14ac:dyDescent="0.25">
      <c r="A50" s="26" t="s">
        <v>59</v>
      </c>
      <c r="B50" s="28">
        <v>80</v>
      </c>
      <c r="C50" s="28">
        <v>227</v>
      </c>
      <c r="D50" s="28">
        <v>557</v>
      </c>
      <c r="E50" s="28">
        <v>1333</v>
      </c>
      <c r="F50" s="87"/>
    </row>
    <row r="51" spans="1:6" x14ac:dyDescent="0.25">
      <c r="A51" s="45" t="s">
        <v>60</v>
      </c>
      <c r="B51" s="46">
        <f>ROUND(B50*100/B49,2)</f>
        <v>40.82</v>
      </c>
      <c r="C51" s="46">
        <f t="shared" ref="C51:E51" si="7">ROUND(C50*100/C49,2)</f>
        <v>41.42</v>
      </c>
      <c r="D51" s="46">
        <f t="shared" si="7"/>
        <v>38.79</v>
      </c>
      <c r="E51" s="46">
        <f t="shared" si="7"/>
        <v>35.06</v>
      </c>
      <c r="F51" s="87"/>
    </row>
    <row r="52" spans="1:6" x14ac:dyDescent="0.25">
      <c r="A52" s="76" t="s">
        <v>66</v>
      </c>
      <c r="B52" s="76"/>
      <c r="C52" s="76"/>
      <c r="D52" s="76"/>
      <c r="E52" s="76"/>
      <c r="F52" s="47"/>
    </row>
    <row r="53" spans="1:6" x14ac:dyDescent="0.25">
      <c r="A53" s="89" t="s">
        <v>65</v>
      </c>
      <c r="B53" s="90"/>
      <c r="C53" s="90"/>
      <c r="D53" s="90"/>
      <c r="E53" s="90"/>
      <c r="F53" s="91"/>
    </row>
    <row r="54" spans="1:6" x14ac:dyDescent="0.25">
      <c r="A54" s="92"/>
      <c r="B54" s="93"/>
      <c r="C54" s="93"/>
      <c r="D54" s="93"/>
      <c r="E54" s="93"/>
      <c r="F54" s="94"/>
    </row>
    <row r="55" spans="1:6" x14ac:dyDescent="0.25">
      <c r="A55" s="56" t="s">
        <v>10</v>
      </c>
      <c r="B55" s="51" t="s">
        <v>67</v>
      </c>
      <c r="C55" s="51"/>
      <c r="D55" s="51"/>
      <c r="E55" s="51"/>
      <c r="F55" s="51"/>
    </row>
    <row r="56" spans="1:6" x14ac:dyDescent="0.25">
      <c r="A56" s="56"/>
      <c r="B56" s="51"/>
      <c r="C56" s="51"/>
      <c r="D56" s="51"/>
      <c r="E56" s="51"/>
      <c r="F56" s="51"/>
    </row>
  </sheetData>
  <mergeCells count="29">
    <mergeCell ref="F14:F17"/>
    <mergeCell ref="F23:F26"/>
    <mergeCell ref="F28:F31"/>
    <mergeCell ref="F33:F36"/>
    <mergeCell ref="A18:A19"/>
    <mergeCell ref="A37:A38"/>
    <mergeCell ref="B18:F19"/>
    <mergeCell ref="B37:F38"/>
    <mergeCell ref="A22:E22"/>
    <mergeCell ref="A27:E27"/>
    <mergeCell ref="A32:E32"/>
    <mergeCell ref="A20:F21"/>
    <mergeCell ref="A3:E3"/>
    <mergeCell ref="A8:E8"/>
    <mergeCell ref="A13:E13"/>
    <mergeCell ref="A1:C2"/>
    <mergeCell ref="D1:F2"/>
    <mergeCell ref="F4:F7"/>
    <mergeCell ref="F9:F12"/>
    <mergeCell ref="A42:E42"/>
    <mergeCell ref="F43:F46"/>
    <mergeCell ref="A47:E47"/>
    <mergeCell ref="A39:C41"/>
    <mergeCell ref="D39:F41"/>
    <mergeCell ref="F48:F51"/>
    <mergeCell ref="A52:E52"/>
    <mergeCell ref="A55:A56"/>
    <mergeCell ref="B55:F56"/>
    <mergeCell ref="A53:F5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Таблица</vt:lpstr>
      <vt:lpstr>Графики</vt:lpstr>
      <vt:lpstr>Замеры блоков</vt:lpstr>
      <vt:lpstr>Сравнение с эталонами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2026-04-30T12:37:57Z</dcterms:modified>
</cp:coreProperties>
</file>
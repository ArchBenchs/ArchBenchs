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6DEDEAFF-3E89-49B9-A174-28F269601D5C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Графики" sheetId="1" r:id="rId1"/>
    <sheet name="Замеры блоков" sheetId="3" r:id="rId2"/>
    <sheet name="Таблица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9" i="3" l="1"/>
  <c r="E19" i="3"/>
  <c r="D19" i="3"/>
  <c r="C19" i="3"/>
  <c r="F15" i="3"/>
  <c r="E15" i="3"/>
  <c r="D15" i="3"/>
  <c r="C15" i="3"/>
  <c r="F11" i="3"/>
  <c r="E11" i="3"/>
  <c r="D11" i="3"/>
  <c r="C11" i="3"/>
  <c r="E7" i="3"/>
  <c r="F7" i="3"/>
  <c r="D7" i="3"/>
  <c r="C7" i="3"/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60" i="1"/>
  <c r="D55" i="1"/>
  <c r="C57" i="1"/>
  <c r="C71" i="1" s="1"/>
  <c r="C58" i="1"/>
  <c r="C72" i="1" s="1"/>
  <c r="C59" i="1"/>
  <c r="C73" i="1" s="1"/>
  <c r="C60" i="1"/>
  <c r="C74" i="1" s="1"/>
  <c r="C56" i="1"/>
  <c r="D93" i="1"/>
  <c r="E92" i="1"/>
  <c r="D92" i="1"/>
  <c r="C92" i="1"/>
  <c r="E89" i="1"/>
  <c r="E96" i="1" s="1"/>
  <c r="D89" i="1"/>
  <c r="D96" i="1" s="1"/>
  <c r="C89" i="1"/>
  <c r="C96" i="1" s="1"/>
  <c r="E88" i="1"/>
  <c r="E95" i="1" s="1"/>
  <c r="D88" i="1"/>
  <c r="D95" i="1" s="1"/>
  <c r="C88" i="1"/>
  <c r="C95" i="1" s="1"/>
  <c r="E87" i="1"/>
  <c r="E94" i="1" s="1"/>
  <c r="D87" i="1"/>
  <c r="D94" i="1" s="1"/>
  <c r="C87" i="1"/>
  <c r="C94" i="1" s="1"/>
  <c r="E86" i="1"/>
  <c r="E93" i="1" s="1"/>
  <c r="D86" i="1"/>
  <c r="C86" i="1"/>
  <c r="C93" i="1" s="1"/>
  <c r="E85" i="1"/>
  <c r="D85" i="1"/>
  <c r="C85" i="1"/>
  <c r="D74" i="1"/>
  <c r="D72" i="1"/>
  <c r="C70" i="1"/>
  <c r="D69" i="1"/>
  <c r="E66" i="1"/>
  <c r="D73" i="1"/>
  <c r="C55" i="1"/>
  <c r="C69" i="1" s="1"/>
  <c r="E54" i="1"/>
  <c r="E68" i="1" s="1"/>
  <c r="D54" i="1"/>
  <c r="D68" i="1" s="1"/>
  <c r="C54" i="1"/>
  <c r="C68" i="1" s="1"/>
  <c r="E53" i="1"/>
  <c r="E67" i="1" s="1"/>
  <c r="D53" i="1"/>
  <c r="D67" i="1" s="1"/>
  <c r="C53" i="1"/>
  <c r="C67" i="1" s="1"/>
  <c r="E52" i="1"/>
  <c r="D52" i="1"/>
  <c r="D66" i="1" s="1"/>
  <c r="C52" i="1"/>
  <c r="C66" i="1" s="1"/>
  <c r="E51" i="1"/>
  <c r="E65" i="1" s="1"/>
  <c r="D51" i="1"/>
  <c r="D65" i="1" s="1"/>
  <c r="C51" i="1"/>
  <c r="C65" i="1" s="1"/>
  <c r="E50" i="1"/>
  <c r="E64" i="1" s="1"/>
  <c r="D50" i="1"/>
  <c r="D64" i="1" s="1"/>
  <c r="C50" i="1"/>
  <c r="C64" i="1" s="1"/>
  <c r="E49" i="1"/>
  <c r="E63" i="1" s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<sst xmlns="http://schemas.openxmlformats.org/spreadsheetml/2006/main" count="95" uniqueCount="41">
  <si>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</si>
  <si>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</si>
  <si>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</si>
  <si>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</si>
  <si>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</si>
  <si>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</si>
  <si>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</si>
  <si>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</si>
  <si>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</si>
  <si>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</si>
  <si>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</si>
  <si>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</si>
  <si>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</si>
  <si>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</si>
  <si>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</si>
  <si>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</si>
  <si>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</si>
  <si>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</si>
  <si>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</si>
  <si>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</si>
  <si>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</si>
  <si>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</si>
  <si>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</si>
  <si>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</si>
  <si>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</si>
  <si>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</si>
  <si>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</si>
  <si>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</si>
  <si>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t>размер блока:</t>
  </si>
  <si>
    <t>n</t>
  </si>
  <si>
    <t>ЭТО КАК</t>
  </si>
  <si>
    <t>risk-V (компилятор gcc-riskv64-15.1.0)</t>
  </si>
  <si>
    <t>Размеры матрицы</t>
  </si>
  <si>
    <t>L11 x U11</t>
  </si>
  <si>
    <t>L21</t>
  </si>
  <si>
    <t>U12</t>
  </si>
  <si>
    <t>L22 x U22</t>
  </si>
  <si>
    <t>Общее время вычисления (ms)</t>
  </si>
  <si>
    <t>Время вычисления блоков (ms)</t>
  </si>
  <si>
    <t>Процент от общего времени (%)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</si>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</sst>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b/>
      <u/>
      <sz val="16"/>
      <color theme="0"/>
      <name val="GOST Common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42420</c:v>
                </c:pt>
                <c:pt idx="1">
                  <c:v>21202</c:v>
                </c:pt>
                <c:pt idx="2">
                  <c:v>11078</c:v>
                </c:pt>
                <c:pt idx="3">
                  <c:v>7787</c:v>
                </c:pt>
                <c:pt idx="4">
                  <c:v>6260</c:v>
                </c:pt>
                <c:pt idx="5">
                  <c:v>5372</c:v>
                </c:pt>
                <c:pt idx="6">
                  <c:v>4574</c:v>
                </c:pt>
                <c:pt idx="7">
                  <c:v>4295</c:v>
                </c:pt>
                <c:pt idx="8">
                  <c:v>3969</c:v>
                </c:pt>
                <c:pt idx="9">
                  <c:v>3709</c:v>
                </c:pt>
                <c:pt idx="10">
                  <c:v>3554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143042</c:v>
                </c:pt>
                <c:pt idx="1">
                  <c:v>70771</c:v>
                </c:pt>
                <c:pt idx="2">
                  <c:v>36194</c:v>
                </c:pt>
                <c:pt idx="3">
                  <c:v>25435</c:v>
                </c:pt>
                <c:pt idx="4">
                  <c:v>19632</c:v>
                </c:pt>
                <c:pt idx="5">
                  <c:v>16476</c:v>
                </c:pt>
                <c:pt idx="6">
                  <c:v>14220</c:v>
                </c:pt>
                <c:pt idx="7">
                  <c:v>13252</c:v>
                </c:pt>
                <c:pt idx="8">
                  <c:v>12007</c:v>
                </c:pt>
                <c:pt idx="9">
                  <c:v>11351</c:v>
                </c:pt>
                <c:pt idx="10">
                  <c:v>10371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2.0211999999999999</c:v>
                </c:pt>
                <c:pt idx="2">
                  <c:v>3.9520900000000001</c:v>
                </c:pt>
                <c:pt idx="3">
                  <c:v>5.6238299999999999</c:v>
                </c:pt>
                <c:pt idx="4">
                  <c:v>7.2861700000000003</c:v>
                </c:pt>
                <c:pt idx="5">
                  <c:v>8.6818399999999993</c:v>
                </c:pt>
                <c:pt idx="6">
                  <c:v>10.05921</c:v>
                </c:pt>
                <c:pt idx="7">
                  <c:v>10.793990000000001</c:v>
                </c:pt>
                <c:pt idx="8">
                  <c:v>11.913220000000001</c:v>
                </c:pt>
                <c:pt idx="9">
                  <c:v>12.601710000000001</c:v>
                </c:pt>
                <c:pt idx="10">
                  <c:v>13.7925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2.00075</c:v>
                </c:pt>
                <c:pt idx="2">
                  <c:v>3.8292099999999998</c:v>
                </c:pt>
                <c:pt idx="3">
                  <c:v>5.44754</c:v>
                </c:pt>
                <c:pt idx="4">
                  <c:v>6.7763600000000004</c:v>
                </c:pt>
                <c:pt idx="5">
                  <c:v>7.8964999999999996</c:v>
                </c:pt>
                <c:pt idx="6">
                  <c:v>9.2741600000000002</c:v>
                </c:pt>
                <c:pt idx="7">
                  <c:v>9.8765999999999998</c:v>
                </c:pt>
                <c:pt idx="8">
                  <c:v>10.68783</c:v>
                </c:pt>
                <c:pt idx="9">
                  <c:v>11.437049999999999</c:v>
                </c:pt>
                <c:pt idx="10">
                  <c:v>11.93585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2.000378787878788</c:v>
                </c:pt>
                <c:pt idx="2">
                  <c:v>4.0420972062763108</c:v>
                </c:pt>
                <c:pt idx="3">
                  <c:v>5.7937465715852987</c:v>
                </c:pt>
                <c:pt idx="4">
                  <c:v>7.5174377224199285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1.000189393939394</c:v>
                </c:pt>
                <c:pt idx="2">
                  <c:v>1.0105243015690777</c:v>
                </c:pt>
                <c:pt idx="3">
                  <c:v>0.96562442859754982</c:v>
                </c:pt>
                <c:pt idx="4">
                  <c:v>0.93967971530249106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1.025015617014027</c:v>
                </c:pt>
                <c:pt idx="2">
                  <c:v>1.040916955017301</c:v>
                </c:pt>
                <c:pt idx="3">
                  <c:v>1.0081266756032172</c:v>
                </c:pt>
                <c:pt idx="4">
                  <c:v>0.9771275443915115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1.0362494586401039</c:v>
                </c:pt>
                <c:pt idx="2">
                  <c:v>1.0571397914615366</c:v>
                </c:pt>
                <c:pt idx="3">
                  <c:v>1.0257149856084267</c:v>
                </c:pt>
                <c:pt idx="4">
                  <c:v>1.0036974447480704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1.0794699999999999</c:v>
                </c:pt>
                <c:pt idx="2">
                  <c:v>1.03521</c:v>
                </c:pt>
                <c:pt idx="3">
                  <c:v>0.94513999999999998</c:v>
                </c:pt>
                <c:pt idx="4">
                  <c:v>0.90297000000000005</c:v>
                </c:pt>
                <c:pt idx="5">
                  <c:v>0.86641999999999997</c:v>
                </c:pt>
                <c:pt idx="6">
                  <c:v>0.83179000000000003</c:v>
                </c:pt>
                <c:pt idx="7">
                  <c:v>0.76739999999999997</c:v>
                </c:pt>
                <c:pt idx="8">
                  <c:v>0.70077999999999996</c:v>
                </c:pt>
                <c:pt idx="9">
                  <c:v>0.66052</c:v>
                </c:pt>
                <c:pt idx="10">
                  <c:v>0.62727999999999995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1.00038</c:v>
                </c:pt>
                <c:pt idx="2">
                  <c:v>0.95730000000000004</c:v>
                </c:pt>
                <c:pt idx="3">
                  <c:v>0.90791999999999995</c:v>
                </c:pt>
                <c:pt idx="4">
                  <c:v>0.84704999999999997</c:v>
                </c:pt>
                <c:pt idx="5">
                  <c:v>0.78964999999999996</c:v>
                </c:pt>
                <c:pt idx="6">
                  <c:v>0.77285000000000004</c:v>
                </c:pt>
                <c:pt idx="7">
                  <c:v>0.70547000000000004</c:v>
                </c:pt>
                <c:pt idx="8">
                  <c:v>0.66798999999999997</c:v>
                </c:pt>
                <c:pt idx="9">
                  <c:v>0.63539000000000001</c:v>
                </c:pt>
                <c:pt idx="10">
                  <c:v>0.59679000000000004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1.0105999999999999</c:v>
                </c:pt>
                <c:pt idx="2">
                  <c:v>0.98802000000000001</c:v>
                </c:pt>
                <c:pt idx="3">
                  <c:v>0.93730999999999998</c:v>
                </c:pt>
                <c:pt idx="4">
                  <c:v>0.91076999999999997</c:v>
                </c:pt>
                <c:pt idx="5">
                  <c:v>0.86817999999999995</c:v>
                </c:pt>
                <c:pt idx="6">
                  <c:v>0.83826999999999996</c:v>
                </c:pt>
                <c:pt idx="7">
                  <c:v>0.77100000000000002</c:v>
                </c:pt>
                <c:pt idx="8">
                  <c:v>0.74458000000000002</c:v>
                </c:pt>
                <c:pt idx="9">
                  <c:v>0.70009999999999994</c:v>
                </c:pt>
                <c:pt idx="10">
                  <c:v>0.68962999999999997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2.1589299999999998</c:v>
                </c:pt>
                <c:pt idx="2">
                  <c:v>4.1408500000000004</c:v>
                </c:pt>
                <c:pt idx="3">
                  <c:v>5.6708299999999996</c:v>
                </c:pt>
                <c:pt idx="4">
                  <c:v>7.2237200000000001</c:v>
                </c:pt>
                <c:pt idx="5">
                  <c:v>8.6642200000000003</c:v>
                </c:pt>
                <c:pt idx="6">
                  <c:v>9.98142</c:v>
                </c:pt>
                <c:pt idx="7">
                  <c:v>10.743639999999999</c:v>
                </c:pt>
                <c:pt idx="8">
                  <c:v>11.21252</c:v>
                </c:pt>
                <c:pt idx="9">
                  <c:v>11.889340000000001</c:v>
                </c:pt>
                <c:pt idx="10">
                  <c:v>12.54565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5909</c:v>
                </c:pt>
                <c:pt idx="1">
                  <c:v>2737</c:v>
                </c:pt>
                <c:pt idx="2">
                  <c:v>1427</c:v>
                </c:pt>
                <c:pt idx="3">
                  <c:v>1042</c:v>
                </c:pt>
                <c:pt idx="4">
                  <c:v>818</c:v>
                </c:pt>
                <c:pt idx="5">
                  <c:v>682</c:v>
                </c:pt>
                <c:pt idx="6">
                  <c:v>592</c:v>
                </c:pt>
                <c:pt idx="7">
                  <c:v>550</c:v>
                </c:pt>
                <c:pt idx="8">
                  <c:v>527</c:v>
                </c:pt>
                <c:pt idx="9">
                  <c:v>497</c:v>
                </c:pt>
                <c:pt idx="10">
                  <c:v>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abSelected="1" topLeftCell="A46" zoomScaleNormal="100" workbookViewId="0">
      <selection activeCell="C46" sqref="C46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7" t="s">
        <v>1</v>
      </c>
      <c r="P1" s="38"/>
      <c r="Q1" s="38"/>
      <c r="R1" s="38"/>
      <c r="S1" s="38"/>
      <c r="T1" s="39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40" t="s">
        <v>2</v>
      </c>
      <c r="B2" s="41" t="s">
        <v>3</v>
      </c>
      <c r="C2" s="42"/>
      <c r="D2" s="42"/>
      <c r="E2" s="4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40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40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40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40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40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40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40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40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40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40"/>
      <c r="B12" s="41" t="s">
        <v>8</v>
      </c>
      <c r="C12" s="42"/>
      <c r="D12" s="42"/>
      <c r="E12" s="43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40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40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40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40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40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40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40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40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40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40"/>
      <c r="B22" s="41" t="s">
        <v>9</v>
      </c>
      <c r="C22" s="42"/>
      <c r="D22" s="42"/>
      <c r="E22" s="43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40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40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40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40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40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40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40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40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40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40"/>
      <c r="B32" s="9" t="s">
        <v>10</v>
      </c>
      <c r="C32" s="44" t="s">
        <v>11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48" t="s">
        <v>12</v>
      </c>
      <c r="B33" s="50" t="s">
        <v>3</v>
      </c>
      <c r="C33" s="50"/>
      <c r="D33" s="50"/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49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49"/>
      <c r="B35" s="4">
        <v>1</v>
      </c>
      <c r="C35" s="6">
        <v>5909</v>
      </c>
      <c r="D35" s="6">
        <v>42420</v>
      </c>
      <c r="E35" s="6">
        <v>143042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49"/>
      <c r="B36" s="4">
        <v>2</v>
      </c>
      <c r="C36" s="6">
        <v>2737</v>
      </c>
      <c r="D36" s="6">
        <v>21202</v>
      </c>
      <c r="E36" s="6">
        <v>70771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49"/>
      <c r="B37" s="4">
        <v>4</v>
      </c>
      <c r="C37" s="6">
        <v>1427</v>
      </c>
      <c r="D37" s="6">
        <v>11078</v>
      </c>
      <c r="E37" s="6">
        <v>36194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49"/>
      <c r="B38" s="4">
        <v>6</v>
      </c>
      <c r="C38" s="6">
        <v>1042</v>
      </c>
      <c r="D38" s="6">
        <v>7787</v>
      </c>
      <c r="E38" s="6">
        <v>25435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49"/>
      <c r="B39" s="4">
        <v>8</v>
      </c>
      <c r="C39" s="5">
        <v>818</v>
      </c>
      <c r="D39" s="6">
        <v>6260</v>
      </c>
      <c r="E39" s="6">
        <v>19632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49"/>
      <c r="B40" s="4">
        <v>10</v>
      </c>
      <c r="C40" s="5">
        <v>682</v>
      </c>
      <c r="D40" s="6">
        <v>5372</v>
      </c>
      <c r="E40" s="6">
        <v>16476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49"/>
      <c r="B41" s="4">
        <v>12</v>
      </c>
      <c r="C41" s="5">
        <v>592</v>
      </c>
      <c r="D41" s="6">
        <v>4574</v>
      </c>
      <c r="E41" s="6">
        <v>14220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49"/>
      <c r="B42" s="4">
        <v>14</v>
      </c>
      <c r="C42" s="5">
        <v>550</v>
      </c>
      <c r="D42" s="6">
        <v>4295</v>
      </c>
      <c r="E42" s="6">
        <v>13252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49"/>
      <c r="B43" s="4">
        <v>16</v>
      </c>
      <c r="C43" s="5">
        <v>527</v>
      </c>
      <c r="D43" s="6">
        <v>3969</v>
      </c>
      <c r="E43" s="6">
        <v>12007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49"/>
      <c r="B44" s="4">
        <v>18</v>
      </c>
      <c r="C44" s="5">
        <v>497</v>
      </c>
      <c r="D44" s="6">
        <v>3709</v>
      </c>
      <c r="E44" s="6">
        <v>11351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49"/>
      <c r="B45" s="4">
        <v>20</v>
      </c>
      <c r="C45" s="5">
        <v>471</v>
      </c>
      <c r="D45" s="6">
        <v>3554</v>
      </c>
      <c r="E45" s="6">
        <v>10371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49"/>
      <c r="B46" s="10">
        <v>40</v>
      </c>
      <c r="C46" s="11">
        <v>518</v>
      </c>
      <c r="D46" s="12">
        <v>3697</v>
      </c>
      <c r="E46" s="12">
        <v>11163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49"/>
      <c r="B47" s="50" t="s">
        <v>8</v>
      </c>
      <c r="C47" s="50"/>
      <c r="D47" s="50"/>
      <c r="E47" s="50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49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49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49"/>
      <c r="B50" s="4">
        <v>2</v>
      </c>
      <c r="C50" s="5">
        <f>ROUND(C35/C36,5)</f>
        <v>2.1589299999999998</v>
      </c>
      <c r="D50" s="5">
        <f>ROUND(D35/D36,5)</f>
        <v>2.00075</v>
      </c>
      <c r="E50" s="5">
        <f>ROUND(E35/E36,5)</f>
        <v>2.0211999999999999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49"/>
      <c r="B51" s="4">
        <v>4</v>
      </c>
      <c r="C51" s="5">
        <f>ROUND(C35/C37,5)</f>
        <v>4.1408500000000004</v>
      </c>
      <c r="D51" s="5">
        <f>ROUND(D35/D37,5)</f>
        <v>3.8292099999999998</v>
      </c>
      <c r="E51" s="5">
        <f>ROUND(E35/E37,5)</f>
        <v>3.9520900000000001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49"/>
      <c r="B52" s="4">
        <v>6</v>
      </c>
      <c r="C52" s="5">
        <f>ROUND(C35/C38,5)</f>
        <v>5.6708299999999996</v>
      </c>
      <c r="D52" s="5">
        <f>ROUND(D35/D38,5)</f>
        <v>5.44754</v>
      </c>
      <c r="E52" s="5">
        <f>ROUND(E35/E38,5)</f>
        <v>5.6238299999999999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49"/>
      <c r="B53" s="13">
        <v>8</v>
      </c>
      <c r="C53" s="14">
        <f>ROUND(C35/C39,5)</f>
        <v>7.2237200000000001</v>
      </c>
      <c r="D53" s="14">
        <f>ROUND(D35/D39,5)</f>
        <v>6.7763600000000004</v>
      </c>
      <c r="E53" s="14">
        <f>ROUND(E35/E39,5)</f>
        <v>7.2861700000000003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49"/>
      <c r="B54" s="4">
        <v>10</v>
      </c>
      <c r="C54" s="5">
        <f>ROUND(C35/C40,5)</f>
        <v>8.6642200000000003</v>
      </c>
      <c r="D54" s="5">
        <f>ROUND(D35/D40,5)</f>
        <v>7.8964999999999996</v>
      </c>
      <c r="E54" s="5">
        <f>ROUND(E35/E40,5)</f>
        <v>8.6818399999999993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49"/>
      <c r="B55" s="4">
        <v>12</v>
      </c>
      <c r="C55" s="5">
        <f>ROUND(C35/C41,5)</f>
        <v>9.98142</v>
      </c>
      <c r="D55" s="5">
        <f>ROUND(D$35/D41,5)</f>
        <v>9.2741600000000002</v>
      </c>
      <c r="E55" s="5">
        <f>ROUND(E$35/E41,5)</f>
        <v>10.05921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49"/>
      <c r="B56" s="4">
        <v>14</v>
      </c>
      <c r="C56" s="5">
        <f>ROUND(C$35/C42,5)</f>
        <v>10.743639999999999</v>
      </c>
      <c r="D56" s="5">
        <f t="shared" ref="D56:E60" si="3">ROUND(D$35/D42,5)</f>
        <v>9.8765999999999998</v>
      </c>
      <c r="E56" s="5">
        <f t="shared" si="3"/>
        <v>10.793990000000001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49"/>
      <c r="B57" s="4">
        <v>16</v>
      </c>
      <c r="C57" s="5">
        <f t="shared" ref="C57:C60" si="4">ROUND(C$35/C43,5)</f>
        <v>11.21252</v>
      </c>
      <c r="D57" s="5">
        <f t="shared" si="3"/>
        <v>10.68783</v>
      </c>
      <c r="E57" s="5">
        <f t="shared" si="3"/>
        <v>11.913220000000001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49"/>
      <c r="B58" s="4">
        <v>18</v>
      </c>
      <c r="C58" s="5">
        <f t="shared" si="4"/>
        <v>11.889340000000001</v>
      </c>
      <c r="D58" s="5">
        <f t="shared" si="3"/>
        <v>11.437049999999999</v>
      </c>
      <c r="E58" s="5">
        <f t="shared" si="3"/>
        <v>12.601710000000001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49"/>
      <c r="B59" s="4">
        <v>20</v>
      </c>
      <c r="C59" s="5">
        <f t="shared" si="4"/>
        <v>12.54565</v>
      </c>
      <c r="D59" s="5">
        <f t="shared" si="3"/>
        <v>11.93585</v>
      </c>
      <c r="E59" s="5">
        <f t="shared" si="3"/>
        <v>13.7925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49"/>
      <c r="B60" s="10">
        <v>40</v>
      </c>
      <c r="C60" s="11">
        <f t="shared" si="4"/>
        <v>11.40734</v>
      </c>
      <c r="D60" s="11">
        <f t="shared" si="3"/>
        <v>11.474170000000001</v>
      </c>
      <c r="E60" s="11">
        <f t="shared" si="3"/>
        <v>12.813940000000001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49"/>
      <c r="B61" s="50" t="s">
        <v>9</v>
      </c>
      <c r="C61" s="50"/>
      <c r="D61" s="50"/>
      <c r="E61" s="50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49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49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49"/>
      <c r="B64" s="4">
        <v>2</v>
      </c>
      <c r="C64" s="5">
        <f t="shared" si="5"/>
        <v>1.0794699999999999</v>
      </c>
      <c r="D64" s="5">
        <f t="shared" si="5"/>
        <v>1.00038</v>
      </c>
      <c r="E64" s="5">
        <f t="shared" si="5"/>
        <v>1.0105999999999999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49"/>
      <c r="B65" s="4">
        <v>4</v>
      </c>
      <c r="C65" s="5">
        <f t="shared" si="5"/>
        <v>1.03521</v>
      </c>
      <c r="D65" s="5">
        <f>ROUND(D51/$B51,5)</f>
        <v>0.95730000000000004</v>
      </c>
      <c r="E65" s="5">
        <f t="shared" si="5"/>
        <v>0.98802000000000001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49"/>
      <c r="B66" s="4">
        <v>6</v>
      </c>
      <c r="C66" s="5">
        <f t="shared" si="5"/>
        <v>0.94513999999999998</v>
      </c>
      <c r="D66" s="5">
        <f t="shared" si="5"/>
        <v>0.90791999999999995</v>
      </c>
      <c r="E66" s="5">
        <f t="shared" si="5"/>
        <v>0.93730999999999998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49"/>
      <c r="B67" s="15">
        <v>8</v>
      </c>
      <c r="C67" s="16">
        <f t="shared" si="5"/>
        <v>0.90297000000000005</v>
      </c>
      <c r="D67" s="16">
        <f t="shared" si="5"/>
        <v>0.84704999999999997</v>
      </c>
      <c r="E67" s="16">
        <f t="shared" si="5"/>
        <v>0.91076999999999997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49"/>
      <c r="B68" s="4">
        <v>10</v>
      </c>
      <c r="C68" s="5">
        <f t="shared" si="5"/>
        <v>0.86641999999999997</v>
      </c>
      <c r="D68" s="5">
        <f t="shared" si="5"/>
        <v>0.78964999999999996</v>
      </c>
      <c r="E68" s="5">
        <f t="shared" si="5"/>
        <v>0.86817999999999995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49"/>
      <c r="B69" s="4">
        <v>12</v>
      </c>
      <c r="C69" s="5">
        <f t="shared" si="5"/>
        <v>0.83179000000000003</v>
      </c>
      <c r="D69" s="5">
        <f t="shared" si="5"/>
        <v>0.77285000000000004</v>
      </c>
      <c r="E69" s="5">
        <f t="shared" si="5"/>
        <v>0.83826999999999996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49"/>
      <c r="B70" s="4">
        <v>14</v>
      </c>
      <c r="C70" s="5">
        <f t="shared" si="5"/>
        <v>0.76739999999999997</v>
      </c>
      <c r="D70" s="5">
        <f t="shared" si="5"/>
        <v>0.70547000000000004</v>
      </c>
      <c r="E70" s="5">
        <f t="shared" si="5"/>
        <v>0.77100000000000002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49"/>
      <c r="B71" s="4">
        <v>16</v>
      </c>
      <c r="C71" s="5">
        <f t="shared" si="5"/>
        <v>0.70077999999999996</v>
      </c>
      <c r="D71" s="5">
        <f t="shared" si="5"/>
        <v>0.66798999999999997</v>
      </c>
      <c r="E71" s="5">
        <f t="shared" si="5"/>
        <v>0.74458000000000002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49"/>
      <c r="B72" s="4">
        <v>18</v>
      </c>
      <c r="C72" s="5">
        <f t="shared" si="5"/>
        <v>0.66052</v>
      </c>
      <c r="D72" s="5">
        <f t="shared" si="5"/>
        <v>0.63539000000000001</v>
      </c>
      <c r="E72" s="5">
        <f t="shared" si="5"/>
        <v>0.70009999999999994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49"/>
      <c r="B73" s="4">
        <v>20</v>
      </c>
      <c r="C73" s="5">
        <f t="shared" si="5"/>
        <v>0.62727999999999995</v>
      </c>
      <c r="D73" s="5">
        <f t="shared" si="5"/>
        <v>0.59679000000000004</v>
      </c>
      <c r="E73" s="5">
        <f t="shared" si="5"/>
        <v>0.68962999999999997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49"/>
      <c r="B74" s="10">
        <v>40</v>
      </c>
      <c r="C74" s="11">
        <f t="shared" si="5"/>
        <v>0.28517999999999999</v>
      </c>
      <c r="D74" s="11">
        <f t="shared" si="5"/>
        <v>0.28684999999999999</v>
      </c>
      <c r="E74" s="11">
        <f t="shared" si="5"/>
        <v>0.32035000000000002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49"/>
      <c r="B75" s="9" t="s">
        <v>10</v>
      </c>
      <c r="C75" s="52" t="s">
        <v>14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23"/>
      <c r="AC75" s="23"/>
      <c r="AD75" s="22"/>
    </row>
    <row r="76" spans="1:30" ht="21.6" customHeight="1" x14ac:dyDescent="0.25">
      <c r="A76" s="40" t="s">
        <v>15</v>
      </c>
      <c r="B76" s="50" t="s">
        <v>3</v>
      </c>
      <c r="C76" s="50"/>
      <c r="D76" s="50"/>
      <c r="E76" s="50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40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40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40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40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40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40"/>
      <c r="B82" s="4">
        <v>8</v>
      </c>
      <c r="C82" s="5">
        <v>1405</v>
      </c>
      <c r="D82" s="6">
        <v>4618</v>
      </c>
      <c r="E82" s="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40"/>
      <c r="B83" s="50" t="s">
        <v>8</v>
      </c>
      <c r="C83" s="50"/>
      <c r="D83" s="50"/>
      <c r="E83" s="50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40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40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40"/>
      <c r="B86" s="3">
        <v>2</v>
      </c>
      <c r="C86" s="5">
        <f>C78/C79</f>
        <v>2.000378787878788</v>
      </c>
      <c r="D86" s="5">
        <f>D78/D79</f>
        <v>2.050031234028054</v>
      </c>
      <c r="E86" s="5">
        <f>E78/E79</f>
        <v>2.0724989172802077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40"/>
      <c r="B87" s="3">
        <v>4</v>
      </c>
      <c r="C87" s="5">
        <f>C78/C80</f>
        <v>4.0420972062763108</v>
      </c>
      <c r="D87" s="5">
        <f>D78/D80</f>
        <v>4.1636678200692039</v>
      </c>
      <c r="E87" s="5">
        <f>E78/E80</f>
        <v>4.2285591658461463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40"/>
      <c r="B88" s="3">
        <v>6</v>
      </c>
      <c r="C88" s="5">
        <f>C78/C81</f>
        <v>5.7937465715852987</v>
      </c>
      <c r="D88" s="5">
        <f>D78/D81</f>
        <v>6.0487600536193034</v>
      </c>
      <c r="E88" s="5">
        <f>E78/E81</f>
        <v>6.15428991365056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40"/>
      <c r="B89" s="17">
        <v>8</v>
      </c>
      <c r="C89" s="14">
        <f>C78/C82</f>
        <v>7.5174377224199285</v>
      </c>
      <c r="D89" s="14">
        <f>D78/D82</f>
        <v>7.817020355132092</v>
      </c>
      <c r="E89" s="14">
        <f>E78/E82</f>
        <v>8.0295795579845635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40"/>
      <c r="B90" s="50" t="s">
        <v>9</v>
      </c>
      <c r="C90" s="50"/>
      <c r="D90" s="50"/>
      <c r="E90" s="50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40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40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40"/>
      <c r="B93" s="3">
        <v>2</v>
      </c>
      <c r="C93" s="5">
        <f>C86/B86</f>
        <v>1.000189393939394</v>
      </c>
      <c r="D93" s="5">
        <f>D86/B86</f>
        <v>1.025015617014027</v>
      </c>
      <c r="E93" s="5">
        <f>E86/B86</f>
        <v>1.0362494586401039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40"/>
      <c r="B94" s="3">
        <v>4</v>
      </c>
      <c r="C94" s="5">
        <f>C87/B87</f>
        <v>1.0105243015690777</v>
      </c>
      <c r="D94" s="5">
        <f>D87/B87</f>
        <v>1.040916955017301</v>
      </c>
      <c r="E94" s="5">
        <f>E87/B87</f>
        <v>1.0571397914615366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40"/>
      <c r="B95" s="3">
        <v>6</v>
      </c>
      <c r="C95" s="5">
        <f>C88/B88</f>
        <v>0.96562442859754982</v>
      </c>
      <c r="D95" s="5">
        <f>D88/B88</f>
        <v>1.0081266756032172</v>
      </c>
      <c r="E95" s="5">
        <f>E88/B88</f>
        <v>1.0257149856084267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40"/>
      <c r="B96" s="18">
        <v>8</v>
      </c>
      <c r="C96" s="16">
        <f>C89/B89</f>
        <v>0.93967971530249106</v>
      </c>
      <c r="D96" s="16">
        <f>D89/B89</f>
        <v>0.9771275443915115</v>
      </c>
      <c r="E96" s="16">
        <f>E89/B89</f>
        <v>1.0036974447480704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40"/>
      <c r="B97" s="51" t="s">
        <v>10</v>
      </c>
      <c r="C97" s="51"/>
      <c r="D97" s="51"/>
      <c r="E97" s="51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40"/>
      <c r="B98" s="47" t="s">
        <v>30</v>
      </c>
      <c r="C98" s="47"/>
      <c r="D98" s="47"/>
      <c r="E98" s="47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40"/>
      <c r="B99" s="47"/>
      <c r="C99" s="47"/>
      <c r="D99" s="47"/>
      <c r="E99" s="47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40"/>
      <c r="B100" s="47"/>
      <c r="C100" s="47"/>
      <c r="D100" s="47"/>
      <c r="E100" s="47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40"/>
      <c r="B101" s="47"/>
      <c r="C101" s="47"/>
      <c r="D101" s="47"/>
      <c r="E101" s="47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40"/>
      <c r="B102" s="47"/>
      <c r="C102" s="47"/>
      <c r="D102" s="47"/>
      <c r="E102" s="47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40"/>
      <c r="B103" s="47"/>
      <c r="C103" s="47"/>
      <c r="D103" s="47"/>
      <c r="E103" s="47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40"/>
      <c r="B104" s="47"/>
      <c r="C104" s="47"/>
      <c r="D104" s="47"/>
      <c r="E104" s="4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40"/>
      <c r="B105" s="47"/>
      <c r="C105" s="47"/>
      <c r="D105" s="47"/>
      <c r="E105" s="4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  <mergeCell ref="A1:N1"/>
    <mergeCell ref="O1:T1"/>
    <mergeCell ref="A2:A32"/>
    <mergeCell ref="B2:E2"/>
    <mergeCell ref="B12:E12"/>
    <mergeCell ref="B22:E22"/>
    <mergeCell ref="C32:T32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43C05201-5D9E-4235-90B2-C549AD74846E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E454-2A83-42C9-B08D-66B87DC12445}">
  <dimension ref="A1:F45"/>
  <sheetViews>
    <sheetView workbookViewId="0">
      <selection activeCell="B23" sqref="B23"/>
    </sheetView>
  </sheetViews>
  <sheetFormatPr defaultRowHeight="13.55" x14ac:dyDescent="0.2"/>
  <cols>
    <col min="1" max="1" width="19.28515625" style="1" bestFit="1" customWidth="1"/>
    <col min="2" max="2" width="26" style="1" bestFit="1" customWidth="1"/>
    <col min="3" max="6" width="14.28515625" style="1" customWidth="1"/>
    <col min="7" max="26" width="11.7109375" style="1" customWidth="1"/>
    <col min="27" max="16384" width="9.140625" style="1"/>
  </cols>
  <sheetData>
    <row r="1" spans="1:6" ht="20" customHeight="1" x14ac:dyDescent="0.2">
      <c r="A1" s="59" t="s">
        <v>31</v>
      </c>
      <c r="B1" s="59"/>
      <c r="C1" s="59"/>
      <c r="D1" s="59"/>
      <c r="E1" s="59"/>
      <c r="F1" s="59"/>
    </row>
    <row r="2" spans="1:6" ht="20" customHeight="1" x14ac:dyDescent="0.2">
      <c r="A2" s="63" t="s">
        <v>32</v>
      </c>
      <c r="B2" s="63" t="s">
        <v>37</v>
      </c>
      <c r="C2" s="62" t="s">
        <v>33</v>
      </c>
      <c r="D2" s="62" t="s">
        <v>34</v>
      </c>
      <c r="E2" s="62" t="s">
        <v>35</v>
      </c>
      <c r="F2" s="62" t="s">
        <v>36</v>
      </c>
    </row>
    <row r="3" spans="1:6" ht="20" customHeight="1" x14ac:dyDescent="0.2">
      <c r="A3" s="63"/>
      <c r="B3" s="63"/>
      <c r="C3" s="62"/>
      <c r="D3" s="62"/>
      <c r="E3" s="62"/>
      <c r="F3" s="62"/>
    </row>
    <row r="4" spans="1:6" ht="20" customHeight="1" x14ac:dyDescent="0.2">
      <c r="A4" s="61">
        <v>3000</v>
      </c>
      <c r="B4" s="61">
        <v>4613</v>
      </c>
      <c r="C4" s="62" t="s">
        <v>38</v>
      </c>
      <c r="D4" s="62"/>
      <c r="E4" s="62"/>
      <c r="F4" s="62"/>
    </row>
    <row r="5" spans="1:6" ht="20" customHeight="1" x14ac:dyDescent="0.2">
      <c r="A5" s="61"/>
      <c r="B5" s="61"/>
      <c r="C5" s="34">
        <v>16.673999999999999</v>
      </c>
      <c r="D5" s="34">
        <v>405.66399999999999</v>
      </c>
      <c r="E5" s="34">
        <v>134.511</v>
      </c>
      <c r="F5" s="34">
        <v>4446.3580000000002</v>
      </c>
    </row>
    <row r="6" spans="1:6" ht="20" customHeight="1" x14ac:dyDescent="0.2">
      <c r="A6" s="61"/>
      <c r="B6" s="61"/>
      <c r="C6" s="62" t="s">
        <v>39</v>
      </c>
      <c r="D6" s="62"/>
      <c r="E6" s="62"/>
      <c r="F6" s="62"/>
    </row>
    <row r="7" spans="1:6" ht="20" customHeight="1" x14ac:dyDescent="0.2">
      <c r="A7" s="61"/>
      <c r="B7" s="61"/>
      <c r="C7" s="34">
        <f>ROUND(C5/$B4*100,2)</f>
        <v>0.36</v>
      </c>
      <c r="D7" s="34">
        <f>ROUND(D5/$B4*100,2)</f>
        <v>8.7899999999999991</v>
      </c>
      <c r="E7" s="34">
        <f t="shared" ref="E7:F7" si="0">ROUND(E5/$B4*100,2)</f>
        <v>2.92</v>
      </c>
      <c r="F7" s="34">
        <f t="shared" si="0"/>
        <v>96.39</v>
      </c>
    </row>
    <row r="8" spans="1:6" ht="20" customHeight="1" x14ac:dyDescent="0.2">
      <c r="A8" s="61">
        <v>5000</v>
      </c>
      <c r="B8" s="61">
        <v>21014</v>
      </c>
      <c r="C8" s="60" t="s">
        <v>38</v>
      </c>
      <c r="D8" s="60"/>
      <c r="E8" s="60"/>
      <c r="F8" s="60"/>
    </row>
    <row r="9" spans="1:6" ht="20" customHeight="1" x14ac:dyDescent="0.2">
      <c r="A9" s="61"/>
      <c r="B9" s="61"/>
      <c r="C9" s="34">
        <v>25.027000000000001</v>
      </c>
      <c r="D9" s="34">
        <v>1119.075</v>
      </c>
      <c r="E9" s="34">
        <v>358.17099999999999</v>
      </c>
      <c r="F9" s="34">
        <v>20573.175999999999</v>
      </c>
    </row>
    <row r="10" spans="1:6" ht="20" customHeight="1" x14ac:dyDescent="0.2">
      <c r="A10" s="61"/>
      <c r="B10" s="61"/>
      <c r="C10" s="62" t="s">
        <v>39</v>
      </c>
      <c r="D10" s="62"/>
      <c r="E10" s="62"/>
      <c r="F10" s="62"/>
    </row>
    <row r="11" spans="1:6" ht="20" customHeight="1" x14ac:dyDescent="0.2">
      <c r="A11" s="61"/>
      <c r="B11" s="61"/>
      <c r="C11" s="34">
        <f>ROUND(C9/$B8*100,2)</f>
        <v>0.12</v>
      </c>
      <c r="D11" s="34">
        <f>ROUND(D9/$B8*100,2)</f>
        <v>5.33</v>
      </c>
      <c r="E11" s="34">
        <f t="shared" ref="E11:F11" si="1">ROUND(E9/$B8*100,2)</f>
        <v>1.7</v>
      </c>
      <c r="F11" s="34">
        <f t="shared" si="1"/>
        <v>97.9</v>
      </c>
    </row>
    <row r="12" spans="1:6" ht="20" customHeight="1" x14ac:dyDescent="0.2">
      <c r="A12" s="61">
        <v>7000</v>
      </c>
      <c r="B12" s="61">
        <v>57613</v>
      </c>
      <c r="C12" s="62" t="s">
        <v>38</v>
      </c>
      <c r="D12" s="62"/>
      <c r="E12" s="62"/>
      <c r="F12" s="62"/>
    </row>
    <row r="13" spans="1:6" ht="20" customHeight="1" x14ac:dyDescent="0.2">
      <c r="A13" s="61"/>
      <c r="B13" s="61"/>
      <c r="C13" s="34">
        <v>90.486000000000004</v>
      </c>
      <c r="D13" s="34">
        <v>2039.7570000000001</v>
      </c>
      <c r="E13" s="34">
        <v>742.55700000000002</v>
      </c>
      <c r="F13" s="34">
        <v>56715.858</v>
      </c>
    </row>
    <row r="14" spans="1:6" ht="20" customHeight="1" x14ac:dyDescent="0.2">
      <c r="A14" s="61"/>
      <c r="B14" s="61"/>
      <c r="C14" s="62" t="s">
        <v>39</v>
      </c>
      <c r="D14" s="62"/>
      <c r="E14" s="62"/>
      <c r="F14" s="62"/>
    </row>
    <row r="15" spans="1:6" ht="20" customHeight="1" x14ac:dyDescent="0.2">
      <c r="A15" s="61"/>
      <c r="B15" s="61"/>
      <c r="C15" s="34">
        <f>ROUND(C13/$B12*100,2)</f>
        <v>0.16</v>
      </c>
      <c r="D15" s="34">
        <f>ROUND(D13/$B12*100,2)</f>
        <v>3.54</v>
      </c>
      <c r="E15" s="34">
        <f t="shared" ref="E15:F15" si="2">ROUND(E13/$B12*100,2)</f>
        <v>1.29</v>
      </c>
      <c r="F15" s="34">
        <f t="shared" si="2"/>
        <v>98.44</v>
      </c>
    </row>
    <row r="16" spans="1:6" ht="20" customHeight="1" x14ac:dyDescent="0.2">
      <c r="A16" s="61"/>
      <c r="B16" s="61"/>
      <c r="C16" s="62" t="s">
        <v>38</v>
      </c>
      <c r="D16" s="62"/>
      <c r="E16" s="62"/>
      <c r="F16" s="62"/>
    </row>
    <row r="17" spans="1:6" ht="20" customHeight="1" x14ac:dyDescent="0.2">
      <c r="A17" s="61"/>
      <c r="B17" s="61"/>
      <c r="C17" s="34"/>
      <c r="D17" s="34"/>
      <c r="E17" s="34"/>
      <c r="F17" s="34"/>
    </row>
    <row r="18" spans="1:6" ht="20" customHeight="1" x14ac:dyDescent="0.2">
      <c r="A18" s="61"/>
      <c r="B18" s="61"/>
      <c r="C18" s="62" t="s">
        <v>39</v>
      </c>
      <c r="D18" s="62"/>
      <c r="E18" s="62"/>
      <c r="F18" s="62"/>
    </row>
    <row r="19" spans="1:6" ht="20" customHeight="1" x14ac:dyDescent="0.2">
      <c r="A19" s="61"/>
      <c r="B19" s="61"/>
      <c r="C19" s="34" t="e">
        <f>ROUND(C17/$B16*100,2)</f>
        <v>#DIV/0!</v>
      </c>
      <c r="D19" s="34" t="e">
        <f>ROUND(D17/$B16*100,2)</f>
        <v>#DIV/0!</v>
      </c>
      <c r="E19" s="34" t="e">
        <f t="shared" ref="E19:F19" si="3">ROUND(E17/$B16*100,2)</f>
        <v>#DIV/0!</v>
      </c>
      <c r="F19" s="34" t="e">
        <f t="shared" si="3"/>
        <v>#DIV/0!</v>
      </c>
    </row>
    <row r="20" spans="1:6" ht="20" customHeight="1" x14ac:dyDescent="0.2"/>
    <row r="21" spans="1:6" ht="20" customHeight="1" x14ac:dyDescent="0.2"/>
    <row r="22" spans="1:6" ht="20" customHeight="1" x14ac:dyDescent="0.2"/>
    <row r="23" spans="1:6" ht="20" customHeight="1" x14ac:dyDescent="0.2"/>
    <row r="24" spans="1:6" ht="20" customHeight="1" x14ac:dyDescent="0.2"/>
    <row r="25" spans="1:6" ht="20" customHeight="1" x14ac:dyDescent="0.2"/>
    <row r="26" spans="1:6" ht="20" customHeight="1" x14ac:dyDescent="0.2"/>
    <row r="27" spans="1:6" ht="20" customHeight="1" x14ac:dyDescent="0.2"/>
    <row r="28" spans="1:6" ht="20" customHeight="1" x14ac:dyDescent="0.2"/>
    <row r="29" spans="1:6" ht="20" customHeight="1" x14ac:dyDescent="0.2"/>
    <row r="30" spans="1:6" ht="20" customHeight="1" x14ac:dyDescent="0.2"/>
    <row r="31" spans="1:6" ht="17.3" customHeight="1" x14ac:dyDescent="0.2"/>
    <row r="32" spans="1:6" ht="17.3" customHeight="1" x14ac:dyDescent="0.2"/>
    <row r="33" ht="17.3" customHeight="1" x14ac:dyDescent="0.2"/>
    <row r="34" ht="17.3" customHeight="1" x14ac:dyDescent="0.2"/>
    <row r="35" ht="17.3" customHeight="1" x14ac:dyDescent="0.2"/>
    <row r="36" ht="17.3" customHeight="1" x14ac:dyDescent="0.2"/>
    <row r="37" ht="17.3" customHeight="1" x14ac:dyDescent="0.2"/>
    <row r="38" ht="17.3" customHeight="1" x14ac:dyDescent="0.2"/>
    <row r="39" ht="17.3" customHeight="1" x14ac:dyDescent="0.2"/>
    <row r="40" ht="17.3" customHeight="1" x14ac:dyDescent="0.2"/>
    <row r="41" ht="17.3" customHeight="1" x14ac:dyDescent="0.2"/>
    <row r="42" ht="17.3" customHeight="1" x14ac:dyDescent="0.2"/>
    <row r="43" ht="17.3" customHeight="1" x14ac:dyDescent="0.2"/>
    <row r="44" ht="17.3" customHeight="1" x14ac:dyDescent="0.2"/>
    <row r="45" ht="17.3" customHeight="1" x14ac:dyDescent="0.2"/>
  </sheetData>
  <mergeCells count="23">
    <mergeCell ref="A16:A19"/>
    <mergeCell ref="B16:B19"/>
    <mergeCell ref="C16:F16"/>
    <mergeCell ref="C18:F18"/>
    <mergeCell ref="E2:E3"/>
    <mergeCell ref="F2:F3"/>
    <mergeCell ref="A8:A11"/>
    <mergeCell ref="B8:B11"/>
    <mergeCell ref="A12:A15"/>
    <mergeCell ref="B12:B15"/>
    <mergeCell ref="C12:F12"/>
    <mergeCell ref="C14:F14"/>
    <mergeCell ref="C8:F8"/>
    <mergeCell ref="C10:F10"/>
    <mergeCell ref="A4:A7"/>
    <mergeCell ref="B4:B7"/>
    <mergeCell ref="A2:A3"/>
    <mergeCell ref="C4:F4"/>
    <mergeCell ref="B2:B3"/>
    <mergeCell ref="A1:F1"/>
    <mergeCell ref="C6:F6"/>
    <mergeCell ref="C2:C3"/>
    <mergeCell ref="D2:D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L26"/>
  <sheetViews>
    <sheetView workbookViewId="0">
      <selection activeCell="H6" sqref="H6"/>
    </sheetView>
  </sheetViews>
  <sheetFormatPr defaultRowHeight="14.3" x14ac:dyDescent="0.25"/>
  <cols>
    <col min="1" max="1" width="66.7109375" bestFit="1" customWidth="1"/>
    <col min="2" max="5" width="21.7109375" customWidth="1"/>
    <col min="7" max="12" width="11.7109375" customWidth="1"/>
  </cols>
  <sheetData>
    <row r="1" spans="1:12" ht="17.3" customHeight="1" x14ac:dyDescent="0.25">
      <c r="A1" s="35" t="s">
        <v>17</v>
      </c>
      <c r="B1" s="36"/>
      <c r="C1" s="54"/>
      <c r="D1" s="55" t="s">
        <v>18</v>
      </c>
      <c r="E1" s="55" t="s">
        <v>19</v>
      </c>
    </row>
    <row r="2" spans="1:12" ht="17.3" customHeight="1" x14ac:dyDescent="0.25">
      <c r="A2" s="25" t="s">
        <v>20</v>
      </c>
      <c r="B2" s="56" t="s">
        <v>21</v>
      </c>
      <c r="C2" s="56"/>
      <c r="D2" s="56"/>
      <c r="E2" s="56"/>
    </row>
    <row r="3" spans="1:12" ht="17.3" customHeight="1" x14ac:dyDescent="0.25">
      <c r="A3" s="53" t="s">
        <v>22</v>
      </c>
      <c r="B3" s="53"/>
      <c r="C3" s="53"/>
      <c r="D3" s="53"/>
      <c r="E3" s="53"/>
    </row>
    <row r="4" spans="1:12" ht="17.3" customHeight="1" x14ac:dyDescent="0.25">
      <c r="A4" s="26" t="s">
        <v>23</v>
      </c>
      <c r="B4" s="27">
        <v>1000</v>
      </c>
      <c r="C4" s="27">
        <v>3000</v>
      </c>
      <c r="D4" s="27">
        <v>7000</v>
      </c>
      <c r="E4" s="27">
        <v>10000</v>
      </c>
    </row>
    <row r="5" spans="1:12" ht="17.3" customHeight="1" x14ac:dyDescent="0.25">
      <c r="A5" s="26" t="s">
        <v>24</v>
      </c>
      <c r="B5" s="28">
        <v>13</v>
      </c>
      <c r="C5" s="28">
        <v>117</v>
      </c>
      <c r="D5" s="28">
        <v>633</v>
      </c>
      <c r="E5" s="28">
        <v>1101</v>
      </c>
    </row>
    <row r="6" spans="1:12" ht="17.3" customHeight="1" x14ac:dyDescent="0.25">
      <c r="A6" s="29" t="s">
        <v>25</v>
      </c>
      <c r="B6" s="30">
        <v>50</v>
      </c>
      <c r="C6" s="30">
        <v>461</v>
      </c>
      <c r="D6" s="30">
        <v>4644</v>
      </c>
      <c r="E6" s="30">
        <v>11709</v>
      </c>
    </row>
    <row r="7" spans="1:12" ht="17.3" customHeight="1" x14ac:dyDescent="0.25">
      <c r="A7" s="26" t="s">
        <v>26</v>
      </c>
      <c r="B7" s="28">
        <v>64</v>
      </c>
      <c r="C7" s="28">
        <v>582</v>
      </c>
      <c r="D7" s="28">
        <v>5284</v>
      </c>
      <c r="E7" s="28">
        <v>12810</v>
      </c>
    </row>
    <row r="8" spans="1:12" ht="17.3" customHeight="1" x14ac:dyDescent="0.25">
      <c r="A8" s="53" t="s">
        <v>27</v>
      </c>
      <c r="B8" s="53"/>
      <c r="C8" s="53"/>
      <c r="D8" s="53"/>
      <c r="E8" s="53"/>
      <c r="F8" s="31"/>
      <c r="G8" s="31"/>
      <c r="H8" s="31"/>
      <c r="I8" s="31"/>
      <c r="J8" s="31"/>
      <c r="K8" s="31"/>
      <c r="L8" s="31"/>
    </row>
    <row r="9" spans="1:12" ht="17.3" customHeight="1" x14ac:dyDescent="0.25">
      <c r="A9" s="26" t="s">
        <v>23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66" t="s">
        <v>29</v>
      </c>
      <c r="H9" s="57" t="s">
        <v>28</v>
      </c>
      <c r="I9" s="58"/>
      <c r="J9" s="58"/>
      <c r="K9" s="58"/>
      <c r="L9" s="58"/>
    </row>
    <row r="10" spans="1:12" ht="17.3" customHeight="1" x14ac:dyDescent="0.25">
      <c r="A10" s="26" t="s">
        <v>24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67"/>
      <c r="H10" s="33">
        <v>16</v>
      </c>
      <c r="I10" s="33">
        <v>32</v>
      </c>
      <c r="J10" s="64">
        <v>64</v>
      </c>
      <c r="K10" s="33">
        <v>128</v>
      </c>
      <c r="L10" s="33">
        <v>256</v>
      </c>
    </row>
    <row r="11" spans="1:12" ht="17.3" customHeight="1" x14ac:dyDescent="0.25">
      <c r="A11" s="29" t="s">
        <v>25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33">
        <v>5000</v>
      </c>
      <c r="H11" s="34">
        <v>1776</v>
      </c>
      <c r="I11" s="34">
        <v>946</v>
      </c>
      <c r="J11" s="65">
        <v>756</v>
      </c>
      <c r="K11" s="34">
        <v>801</v>
      </c>
      <c r="L11" s="34">
        <v>1520</v>
      </c>
    </row>
    <row r="12" spans="1:12" ht="17.3" customHeight="1" x14ac:dyDescent="0.25">
      <c r="A12" s="26" t="s">
        <v>26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33">
        <v>10000</v>
      </c>
      <c r="H12" s="34">
        <v>10592</v>
      </c>
      <c r="I12" s="34">
        <v>5578</v>
      </c>
      <c r="J12" s="65">
        <v>3586</v>
      </c>
      <c r="K12" s="34">
        <v>3763</v>
      </c>
      <c r="L12" s="34">
        <v>4794</v>
      </c>
    </row>
    <row r="13" spans="1:12" ht="17.3" customHeight="1" x14ac:dyDescent="0.25">
      <c r="A13" s="53" t="s">
        <v>40</v>
      </c>
      <c r="B13" s="53"/>
      <c r="C13" s="53"/>
      <c r="D13" s="53"/>
      <c r="E13" s="53"/>
      <c r="F13" s="31"/>
      <c r="L13" s="31"/>
    </row>
    <row r="14" spans="1:12" ht="17.3" customHeight="1" x14ac:dyDescent="0.25">
      <c r="A14" s="26" t="s">
        <v>23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66" t="s">
        <v>29</v>
      </c>
      <c r="H14" s="35" t="s">
        <v>28</v>
      </c>
      <c r="I14" s="36"/>
      <c r="J14" s="36"/>
      <c r="K14" s="36"/>
      <c r="L14" s="31"/>
    </row>
    <row r="15" spans="1:12" ht="17.3" customHeight="1" x14ac:dyDescent="0.25">
      <c r="A15" s="26" t="s">
        <v>24</v>
      </c>
      <c r="B15" s="28">
        <v>142</v>
      </c>
      <c r="C15" s="28">
        <v>318</v>
      </c>
      <c r="D15" s="28">
        <v>913</v>
      </c>
      <c r="E15" s="28">
        <v>1698</v>
      </c>
      <c r="F15" s="31"/>
      <c r="G15" s="67"/>
      <c r="H15" s="33">
        <v>16</v>
      </c>
      <c r="I15" s="64">
        <v>32</v>
      </c>
      <c r="J15" s="33">
        <v>64</v>
      </c>
      <c r="K15" s="33">
        <v>128</v>
      </c>
      <c r="L15" s="31"/>
    </row>
    <row r="16" spans="1:12" ht="17.3" customHeight="1" x14ac:dyDescent="0.25">
      <c r="A16" s="29" t="s">
        <v>25</v>
      </c>
      <c r="B16" s="30">
        <v>1404</v>
      </c>
      <c r="C16" s="30">
        <v>4611</v>
      </c>
      <c r="D16" s="30">
        <v>21063</v>
      </c>
      <c r="E16" s="30">
        <v>57349</v>
      </c>
      <c r="F16" s="31"/>
      <c r="G16" s="33">
        <v>2000</v>
      </c>
      <c r="H16" s="34">
        <v>2256</v>
      </c>
      <c r="I16" s="65">
        <v>1332</v>
      </c>
      <c r="J16" s="34">
        <v>1844</v>
      </c>
      <c r="K16" s="34">
        <v>4329</v>
      </c>
      <c r="L16" s="31"/>
    </row>
    <row r="17" spans="1:12" ht="17.3" customHeight="1" x14ac:dyDescent="0.25">
      <c r="A17" s="26" t="s">
        <v>26</v>
      </c>
      <c r="B17" s="28">
        <v>1546</v>
      </c>
      <c r="C17" s="28">
        <v>4930</v>
      </c>
      <c r="D17" s="28">
        <v>21976</v>
      </c>
      <c r="E17" s="28">
        <v>59047</v>
      </c>
      <c r="F17" s="31"/>
      <c r="G17" s="33">
        <v>3000</v>
      </c>
      <c r="H17" s="34">
        <v>7481</v>
      </c>
      <c r="I17" s="65">
        <v>4620</v>
      </c>
      <c r="J17" s="34">
        <v>5585</v>
      </c>
      <c r="K17" s="34">
        <v>13227</v>
      </c>
      <c r="L17" s="31"/>
    </row>
    <row r="18" spans="1:12" ht="17.850000000000001" x14ac:dyDescent="0.25">
      <c r="F18" s="31"/>
      <c r="L18" s="31"/>
    </row>
    <row r="19" spans="1:12" ht="17.850000000000001" x14ac:dyDescent="0.25">
      <c r="F19" s="31"/>
      <c r="G19" s="31"/>
      <c r="H19" s="31"/>
      <c r="I19" s="31"/>
      <c r="J19" s="31"/>
      <c r="K19" s="31"/>
      <c r="L19" s="31"/>
    </row>
    <row r="20" spans="1:12" ht="20" customHeight="1" x14ac:dyDescent="0.25">
      <c r="F20" s="31"/>
      <c r="L20" s="31"/>
    </row>
    <row r="21" spans="1:12" ht="20" customHeight="1" x14ac:dyDescent="0.25">
      <c r="F21" s="31"/>
      <c r="L21" s="31"/>
    </row>
    <row r="22" spans="1:12" ht="20" customHeight="1" x14ac:dyDescent="0.25">
      <c r="F22" s="31"/>
      <c r="L22" s="31"/>
    </row>
    <row r="23" spans="1:12" ht="20" customHeight="1" x14ac:dyDescent="0.25">
      <c r="F23" s="31"/>
      <c r="L23" s="31"/>
    </row>
    <row r="24" spans="1:12" ht="20" customHeight="1" x14ac:dyDescent="0.25">
      <c r="F24" s="20"/>
      <c r="G24" s="32"/>
      <c r="H24" s="32"/>
      <c r="I24" s="32"/>
      <c r="J24" s="32"/>
      <c r="K24" s="32"/>
      <c r="L24" s="20"/>
    </row>
    <row r="25" spans="1:12" ht="20" customHeight="1" x14ac:dyDescent="0.25">
      <c r="F25" s="20"/>
      <c r="G25" s="32"/>
      <c r="H25" s="32"/>
      <c r="I25" s="32"/>
      <c r="J25" s="32"/>
      <c r="K25" s="32"/>
      <c r="L25" s="20"/>
    </row>
    <row r="26" spans="1:12" ht="17.850000000000001" x14ac:dyDescent="0.25">
      <c r="F26" s="31"/>
      <c r="G26" s="31"/>
      <c r="H26" s="31"/>
      <c r="I26" s="31"/>
      <c r="J26" s="31"/>
      <c r="K26" s="31"/>
      <c r="L26" s="31"/>
    </row>
  </sheetData>
  <mergeCells count="10">
    <mergeCell ref="H14:K14"/>
    <mergeCell ref="G14:G15"/>
    <mergeCell ref="A13:E13"/>
    <mergeCell ref="A1:C1"/>
    <mergeCell ref="D1:E1"/>
    <mergeCell ref="B2:E2"/>
    <mergeCell ref="A3:E3"/>
    <mergeCell ref="A8:E8"/>
    <mergeCell ref="G9:G10"/>
    <mergeCell ref="H9:L9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Графики</vt:lpstr>
      <vt:lpstr>Замеры блоков</vt:lpstr>
      <vt:lpstr>Таблица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2026-04-25T08:54:09Z</dcterms:modified>
</cp:coreProperties>
</file>
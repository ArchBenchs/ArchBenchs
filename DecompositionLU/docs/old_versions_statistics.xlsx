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xim\source\repos\practice\SECOND_COURSE\FOR_ITLAB\ArchBenchs\DecompositionLU\docs\"/>
    </mc:Choice>
  </mc:AlternateContent>
  <xr:revisionPtr revIDLastSave="0" documentId="13_ncr:1_{9BECA629-CC58-4395-817A-223D54190969}" xr6:coauthVersionLast="45" xr6:coauthVersionMax="45" xr10:uidLastSave="{00000000-0000-0000-0000-000000000000}"/>
  <bookViews>
    <workbookView xWindow="-114" yWindow="-114" windowWidth="27602" windowHeight="15027" activeTab="3" xr2:uid="{00000000-000D-0000-FFFF-FFFF00000000}"/>
  </bookViews>
  <sheets>
    <sheet name="Таблица" sheetId="1" r:id="rId1"/>
    <sheet name="Графики" sheetId="2" r:id="rId2"/>
    <sheet name="Про ноутбук" sheetId="3" r:id="rId3"/>
    <sheet name="Про кластер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6" i="2" l="1"/>
  <c r="D86" i="2" s="1"/>
  <c r="C76" i="2"/>
  <c r="C86" i="2" s="1"/>
  <c r="D75" i="2"/>
  <c r="D85" i="2" s="1"/>
  <c r="C75" i="2"/>
  <c r="C85" i="2" s="1"/>
  <c r="D74" i="2"/>
  <c r="D84" i="2" s="1"/>
  <c r="C74" i="2"/>
  <c r="C84" i="2" s="1"/>
  <c r="D73" i="2"/>
  <c r="D83" i="2" s="1"/>
  <c r="C73" i="2"/>
  <c r="C83" i="2" s="1"/>
  <c r="D72" i="2"/>
  <c r="D82" i="2" s="1"/>
  <c r="C72" i="2"/>
  <c r="C82" i="2" s="1"/>
  <c r="D71" i="2"/>
  <c r="D81" i="2" s="1"/>
  <c r="C71" i="2"/>
  <c r="C81" i="2" s="1"/>
  <c r="D70" i="2"/>
  <c r="D80" i="2" s="1"/>
  <c r="C70" i="2"/>
  <c r="C80" i="2" s="1"/>
  <c r="D69" i="2"/>
  <c r="D79" i="2" s="1"/>
  <c r="C69" i="2"/>
  <c r="C79" i="2" s="1"/>
  <c r="D44" i="2" l="1"/>
  <c r="D54" i="2" s="1"/>
  <c r="D43" i="2"/>
  <c r="D53" i="2" s="1"/>
  <c r="D42" i="2"/>
  <c r="D52" i="2" s="1"/>
  <c r="D41" i="2"/>
  <c r="D51" i="2" s="1"/>
  <c r="D40" i="2"/>
  <c r="D50" i="2" s="1"/>
  <c r="D39" i="2"/>
  <c r="D49" i="2" s="1"/>
  <c r="D38" i="2"/>
  <c r="D48" i="2" s="1"/>
  <c r="D37" i="2"/>
  <c r="D47" i="2" s="1"/>
  <c r="C44" i="2"/>
  <c r="C54" i="2" s="1"/>
  <c r="C43" i="2"/>
  <c r="C53" i="2" s="1"/>
  <c r="C42" i="2"/>
  <c r="C52" i="2" s="1"/>
  <c r="C41" i="2"/>
  <c r="C51" i="2" s="1"/>
  <c r="C40" i="2"/>
  <c r="C50" i="2" s="1"/>
  <c r="C39" i="2"/>
  <c r="C49" i="2" s="1"/>
  <c r="C38" i="2"/>
  <c r="C48" i="2" s="1"/>
  <c r="C37" i="2"/>
  <c r="C47" i="2" s="1"/>
</calcChain>
</file>

<file path=xl/sharedStrings.xml><?xml version="1.0" encoding="utf-8"?>
<sst xmlns="http://schemas.openxmlformats.org/spreadsheetml/2006/main" count="194" uniqueCount="109">
  <si>
    <t>Я не уверен, будет ли это использоваться в готовой презентации и так ли это надо делать, если да, так что пока считаем, что файл для личного пользования.</t>
  </si>
  <si>
    <t>В этом файле будет находиться статистика версий программы, а именно время выполнения теста на оптимизацию и используемая им память.</t>
  </si>
  <si>
    <t xml:space="preserve">Для замеров времени предполагается использовать CRONO, "замеры" памяти грубо прикидываются автором. </t>
  </si>
  <si>
    <t>Главное - не забывать замеры вести и заранее нарисовать красивую табличку со шрифтом по ГОСТу, остальное приложится</t>
  </si>
  <si>
    <t xml:space="preserve">Использованная память: </t>
  </si>
  <si>
    <t>n^2</t>
  </si>
  <si>
    <t>Величина n (длина строки/столбца):</t>
  </si>
  <si>
    <t>Время инициализации матрицы (случ. значения), мс:</t>
  </si>
  <si>
    <t>Время вычисления LU разложения, мс:</t>
  </si>
  <si>
    <t>Общее время выполнения теста, мс:</t>
  </si>
  <si>
    <t>неизвестно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</si>
  <si>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Intel oneApi</t>
    </r>
    <r>
      <rPr>
        <sz val="14"/>
        <color theme="1"/>
        <rFont val="GOST Common"/>
        <family val="2"/>
        <charset val="204"/>
      </rPr>
      <t xml:space="preserve">, конфигурация: </t>
    </r>
    <r>
      <rPr>
        <b/>
        <sz val="14"/>
        <color rgb="FF0070C0"/>
        <rFont val="GOST Common"/>
        <family val="2"/>
        <charset val="204"/>
      </rPr>
      <t>Release</t>
    </r>
  </si>
  <si>
    <r>
      <t xml:space="preserve">Компилятор: </t>
    </r>
    <r>
      <rPr>
        <b/>
        <sz val="14"/>
        <color rgb="FF0070C0"/>
        <rFont val="GOST Common"/>
        <family val="2"/>
        <charset val="204"/>
      </rPr>
      <t>Visual Studio</t>
    </r>
    <r>
      <rPr>
        <sz val="14"/>
        <color theme="1"/>
        <rFont val="GOST Common"/>
        <family val="2"/>
        <charset val="204"/>
      </rPr>
      <t xml:space="preserve">, конфигурация: </t>
    </r>
    <r>
      <rPr>
        <b/>
        <sz val="14"/>
        <color rgb="FF0070C0"/>
        <rFont val="GOST Common"/>
        <family val="2"/>
        <charset val="204"/>
      </rPr>
      <t>Release</t>
    </r>
  </si>
  <si>
    <t>35931 (35,9 сек)</t>
  </si>
  <si>
    <t>36130 (36,1 сек)</t>
  </si>
  <si>
    <t>816373 (816,4 сек)</t>
  </si>
  <si>
    <t>817418 (817,4 сек)</t>
  </si>
  <si>
    <t>3731587 (3731,6 сек)</t>
  </si>
  <si>
    <t>3733384 (3733,4 сек)</t>
  </si>
  <si>
    <t>39196 (39,2 сек)</t>
  </si>
  <si>
    <t>39431 (39,4 сек)</t>
  </si>
  <si>
    <t>На момент создания этой версии, тесты не проводились</t>
  </si>
  <si>
    <t>Версия 1.0 (последовательная, не блочная)</t>
  </si>
  <si>
    <t>~10</t>
  </si>
  <si>
    <t>~292</t>
  </si>
  <si>
    <t>~303</t>
  </si>
  <si>
    <t>~86</t>
  </si>
  <si>
    <t>~9241 (9,2 сек)</t>
  </si>
  <si>
    <t>~9328 (9,3 сек)</t>
  </si>
  <si>
    <t>~701</t>
  </si>
  <si>
    <t>~119878 (119,9 сек)</t>
  </si>
  <si>
    <t>~120579 (120,6 сек)</t>
  </si>
  <si>
    <t>Версия 1.1 (та же 1.0, но с улучшением обхода памяти и генератора)</t>
  </si>
  <si>
    <t>~1320</t>
  </si>
  <si>
    <t>~319947 (319,9 сек)</t>
  </si>
  <si>
    <t>~321267 (321,3 сек)</t>
  </si>
  <si>
    <t>~13</t>
  </si>
  <si>
    <t>~317</t>
  </si>
  <si>
    <t>~330</t>
  </si>
  <si>
    <t>~96</t>
  </si>
  <si>
    <t>а почему</t>
  </si>
  <si>
    <t>~543</t>
  </si>
  <si>
    <t>~110071 (110,1 сек)</t>
  </si>
  <si>
    <t>~110614 (110,6 сек)</t>
  </si>
  <si>
    <t>~8058 (8,1 сек)</t>
  </si>
  <si>
    <t>~8155 (8,2 сек)</t>
  </si>
  <si>
    <t>~1689</t>
  </si>
  <si>
    <t>А ПОЧЕМУ</t>
  </si>
  <si>
    <t>~355642 (355,6 сек)</t>
  </si>
  <si>
    <t>~357332 (357,3 сек)</t>
  </si>
  <si>
    <t>а тут логично…</t>
  </si>
  <si>
    <t>~1162</t>
  </si>
  <si>
    <t>~673</t>
  </si>
  <si>
    <t>~318250 (318,3 сек)</t>
  </si>
  <si>
    <t>~319412 (319,4 сек)</t>
  </si>
  <si>
    <t xml:space="preserve"> ~106711 (106,7 сек)</t>
  </si>
  <si>
    <t>~107385 (107,4 сек)</t>
  </si>
  <si>
    <t>~130</t>
  </si>
  <si>
    <t>~8692 (8,7 сек)</t>
  </si>
  <si>
    <t>~8822 (8,8 сек)</t>
  </si>
  <si>
    <t>~16</t>
  </si>
  <si>
    <t>~106</t>
  </si>
  <si>
    <t>~122</t>
  </si>
  <si>
    <t>~1007</t>
  </si>
  <si>
    <t>~306040 (306 сек)</t>
  </si>
  <si>
    <t>~307048 (307 сек)</t>
  </si>
  <si>
    <t>А ПОЧЕМУ ТАК</t>
  </si>
  <si>
    <t>~522</t>
  </si>
  <si>
    <t>~106596 (106,6 сек)</t>
  </si>
  <si>
    <t>~107118 (107,1 сек)</t>
  </si>
  <si>
    <t>Версия 2.0 (распараллеленная версия 1.1)</t>
  </si>
  <si>
    <t>~154</t>
  </si>
  <si>
    <t>~7321 (7,3 сек)</t>
  </si>
  <si>
    <t>~7475 (7,5 сек)</t>
  </si>
  <si>
    <t>~21</t>
  </si>
  <si>
    <t>~61</t>
  </si>
  <si>
    <t>~82</t>
  </si>
  <si>
    <t>Кол-во потоков</t>
  </si>
  <si>
    <t>Время вычисления</t>
  </si>
  <si>
    <t>n = 5000</t>
  </si>
  <si>
    <t>n = 3000</t>
  </si>
  <si>
    <t>Я искренне не понимаю этих результатов</t>
  </si>
  <si>
    <t>Версия 3.0 (блочная версия алгоритма)</t>
  </si>
  <si>
    <t>Хотя бы здесь логично</t>
  </si>
  <si>
    <t>Замеры версии 2.0</t>
  </si>
  <si>
    <t>Замеры на ноутбуке, данные процессора на вкладке "про процессор"</t>
  </si>
  <si>
    <t>Комментарии:</t>
  </si>
  <si>
    <t>Замеры на учебном компьютере, число физ ядер - 6 и лог ядер - 12</t>
  </si>
  <si>
    <t>Функция плохо распараллеливается больше чем на 4 потока</t>
  </si>
  <si>
    <t>Замеры версии 3.0</t>
  </si>
  <si>
    <t>Соотв. таблица</t>
  </si>
  <si>
    <t>Соотв. графики</t>
  </si>
  <si>
    <t>Соотв. Графики</t>
  </si>
  <si>
    <t>Intel Core i5-1240P 12th Gen</t>
  </si>
  <si>
    <t>LU</t>
  </si>
  <si>
    <t>блок</t>
  </si>
  <si>
    <t>Ускорение S</t>
  </si>
  <si>
    <t>Эффективность</t>
  </si>
  <si>
    <t>4 производительных, 8 энергосберегающих ядер</t>
  </si>
  <si>
    <t>Производительные: ~1.7-2.1 GHz, ~4.4 Ghz, hyperthreading</t>
  </si>
  <si>
    <t>Энергосберегающие: ~1.2-1.5 GHz, ~3.3 GHz</t>
  </si>
  <si>
    <t>12 Мб кэша третьего уровня, 10 Мб - второго</t>
  </si>
  <si>
    <t>Не жили нормально, нечего и начинать. Хотя бы плавный график, но как только включаются энергосберегающие ядра, параллелизация буксует.</t>
  </si>
  <si>
    <t>Замеры версии 3.1</t>
  </si>
  <si>
    <t>Версия 3.1 (доработанная версия 3.0)</t>
  </si>
  <si>
    <t>славно</t>
  </si>
  <si>
    <t>Скорость - лучшая. Графики - кошмарные.</t>
  </si>
  <si>
    <t>Про х86:</t>
  </si>
  <si>
    <t>Про risk-V: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</si>
</sst>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4"/>
      <color theme="1"/>
      <name val="GOST Common"/>
      <family val="2"/>
      <charset val="204"/>
    </font>
    <font>
      <sz val="14"/>
      <color theme="9" tint="-0.249977111117893"/>
      <name val="GOST Common"/>
      <family val="2"/>
      <charset val="204"/>
    </font>
    <font>
      <i/>
      <sz val="14"/>
      <color theme="0"/>
      <name val="GOST Common"/>
      <family val="2"/>
      <charset val="204"/>
    </font>
    <font>
      <b/>
      <sz val="14"/>
      <color theme="0"/>
      <name val="GOST Common"/>
      <family val="2"/>
      <charset val="204"/>
    </font>
    <font>
      <sz val="14"/>
      <name val="GOST Common"/>
      <family val="2"/>
      <charset val="204"/>
    </font>
    <font>
      <b/>
      <sz val="14"/>
      <color rgb="FF0070C0"/>
      <name val="GOST Common"/>
      <family val="2"/>
      <charset val="204"/>
    </font>
    <font>
      <sz val="14"/>
      <color rgb="FF0070C0"/>
      <name val="GOST Common"/>
      <family val="2"/>
      <charset val="204"/>
    </font>
    <font>
      <sz val="8"/>
      <name val="Calibri"/>
      <family val="2"/>
      <scheme val="minor"/>
    </font>
    <font>
      <b/>
      <sz val="14"/>
      <color theme="1"/>
      <name val="GOST Common"/>
      <family val="2"/>
      <charset val="204"/>
    </font>
    <font>
      <b/>
      <sz val="14"/>
      <name val="GOST Common"/>
      <family val="2"/>
      <charset val="204"/>
    </font>
    <font>
      <i/>
      <sz val="14"/>
      <color rgb="FF0070C0"/>
      <name val="GOST Common"/>
      <family val="2"/>
      <charset val="204"/>
    </font>
    <font>
      <i/>
      <sz val="14"/>
      <name val="GOST Common"/>
      <family val="2"/>
      <charset val="204"/>
    </font>
    <font>
      <sz val="11"/>
      <color theme="1"/>
      <name val="GOST Common"/>
      <family val="2"/>
      <charset val="204"/>
    </font>
    <font>
      <i/>
      <sz val="14"/>
      <color theme="1"/>
      <name val="GOST Common"/>
      <family val="2"/>
      <charset val="204"/>
    </font>
    <font>
      <sz val="18"/>
      <color theme="1"/>
      <name val="GOST Common"/>
      <family val="2"/>
      <charset val="204"/>
    </font>
    <font>
      <b/>
      <sz val="18"/>
      <color theme="1"/>
      <name val="GOST Common"/>
      <family val="2"/>
      <charset val="204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5" fillId="0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0" xfId="0" applyFont="1" applyFill="1"/>
    <xf numFmtId="0" fontId="2" fillId="0" borderId="0" xfId="0" applyFont="1" applyAlignment="1"/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0" xfId="0" applyFont="1" applyFill="1" applyBorder="1" applyAlignment="1">
      <alignment horizontal="center"/>
    </xf>
    <xf numFmtId="0" fontId="1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right"/>
    </xf>
    <xf numFmtId="0" fontId="12" fillId="0" borderId="1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Border="1"/>
    <xf numFmtId="0" fontId="6" fillId="0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0" xfId="0" applyFont="1" applyFill="1" applyBorder="1"/>
    <xf numFmtId="0" fontId="13" fillId="0" borderId="1" xfId="0" applyFont="1" applyBorder="1"/>
    <xf numFmtId="0" fontId="13" fillId="0" borderId="1" xfId="0" applyFont="1" applyFill="1" applyBorder="1"/>
    <xf numFmtId="0" fontId="9" fillId="4" borderId="1" xfId="0" applyFont="1" applyFill="1" applyBorder="1" applyAlignment="1">
      <alignment vertical="center"/>
    </xf>
    <xf numFmtId="0" fontId="13" fillId="0" borderId="6" xfId="0" applyFont="1" applyBorder="1"/>
    <xf numFmtId="0" fontId="4" fillId="0" borderId="0" xfId="0" applyFont="1" applyFill="1" applyBorder="1" applyAlignment="1"/>
    <xf numFmtId="0" fontId="4" fillId="0" borderId="9" xfId="0" applyFont="1" applyFill="1" applyBorder="1" applyAlignment="1"/>
    <xf numFmtId="0" fontId="13" fillId="0" borderId="9" xfId="0" applyFont="1" applyFill="1" applyBorder="1"/>
    <xf numFmtId="0" fontId="13" fillId="0" borderId="9" xfId="0" applyFont="1" applyBorder="1"/>
    <xf numFmtId="0" fontId="11" fillId="0" borderId="9" xfId="0" applyFont="1" applyBorder="1" applyAlignment="1">
      <alignment horizontal="right"/>
    </xf>
    <xf numFmtId="0" fontId="14" fillId="0" borderId="1" xfId="0" applyFont="1" applyBorder="1" applyAlignment="1">
      <alignment horizontal="center"/>
    </xf>
    <xf numFmtId="0" fontId="15" fillId="0" borderId="0" xfId="0" applyFont="1"/>
    <xf numFmtId="0" fontId="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6" fillId="0" borderId="0" xfId="0" applyFont="1"/>
    <xf numFmtId="0" fontId="6" fillId="0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textRotation="90" wrapText="1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18" fillId="0" borderId="0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textRotation="90" wrapText="1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/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C5E2"/>
      <color rgb="FF990099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/>
              <a:t>n = 5000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cat>
          <c:val>
            <c:numRef>
              <c:f>Графики!$C$4:$C$11</c:f>
              <c:numCache>
                <c:formatCode>General</c:formatCode>
                <c:ptCount val="8"/>
                <c:pt idx="0">
                  <c:v>40525</c:v>
                </c:pt>
                <c:pt idx="1">
                  <c:v>40933</c:v>
                </c:pt>
                <c:pt idx="2">
                  <c:v>34657</c:v>
                </c:pt>
                <c:pt idx="3">
                  <c:v>38071</c:v>
                </c:pt>
                <c:pt idx="4">
                  <c:v>37594</c:v>
                </c:pt>
                <c:pt idx="5">
                  <c:v>36931</c:v>
                </c:pt>
                <c:pt idx="6">
                  <c:v>40896</c:v>
                </c:pt>
                <c:pt idx="7">
                  <c:v>39364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E-49E8-A7D9-F83A800C7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30848"/>
        <c:axId val="141640832"/>
      </c:lineChart>
      <c:catAx>
        <c:axId val="14163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40832"/>
        <c:crosses val="autoZero"/>
        <c:auto val="1"/>
        <c:lblAlgn val="ctr"/>
        <c:lblOffset val="100"/>
        <c:noMultiLvlLbl val="0"/>
      </c:catAx>
      <c:valAx>
        <c:axId val="141640832"/>
        <c:scaling>
          <c:orientation val="minMax"/>
          <c:min val="3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/>
              <a:t>n = 3000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cat>
          <c:val>
            <c:numRef>
              <c:f>Графики!$D$4:$D$11</c:f>
              <c:numCache>
                <c:formatCode>General</c:formatCode>
                <c:ptCount val="8"/>
                <c:pt idx="0">
                  <c:v>8737</c:v>
                </c:pt>
                <c:pt idx="1">
                  <c:v>8116</c:v>
                </c:pt>
                <c:pt idx="2">
                  <c:v>7387</c:v>
                </c:pt>
                <c:pt idx="3">
                  <c:v>7472</c:v>
                </c:pt>
                <c:pt idx="4">
                  <c:v>7389</c:v>
                </c:pt>
                <c:pt idx="5">
                  <c:v>8155</c:v>
                </c:pt>
                <c:pt idx="6">
                  <c:v>8411</c:v>
                </c:pt>
                <c:pt idx="7">
                  <c:v>7844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F-4E7F-9011-07057B53A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685504"/>
        <c:axId val="141687040"/>
      </c:lineChart>
      <c:catAx>
        <c:axId val="14168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87040"/>
        <c:crosses val="autoZero"/>
        <c:auto val="1"/>
        <c:lblAlgn val="ctr"/>
        <c:lblOffset val="100"/>
        <c:noMultiLvlLbl val="0"/>
      </c:catAx>
      <c:valAx>
        <c:axId val="141687040"/>
        <c:scaling>
          <c:orientation val="minMax"/>
          <c:min val="7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endParaRPr lang="ru-RU"/>
          </a:p>
        </c:txPr>
        <c:crossAx val="141685504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n = 5000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Графики!$B$15:$B$21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Графики!$C$15:$C$21</c:f>
              <c:numCache>
                <c:formatCode>General</c:formatCode>
                <c:ptCount val="7"/>
                <c:pt idx="0">
                  <c:v>21978</c:v>
                </c:pt>
                <c:pt idx="1">
                  <c:v>18990</c:v>
                </c:pt>
                <c:pt idx="2">
                  <c:v>18915</c:v>
                </c:pt>
                <c:pt idx="3">
                  <c:v>19263</c:v>
                </c:pt>
                <c:pt idx="4">
                  <c:v>19123</c:v>
                </c:pt>
                <c:pt idx="5">
                  <c:v>19536</c:v>
                </c:pt>
                <c:pt idx="6">
                  <c:v>20535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B-42BF-B001-B92726F26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61824"/>
        <c:axId val="130781568"/>
      </c:lineChart>
      <c:catAx>
        <c:axId val="13006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781568"/>
        <c:crosses val="autoZero"/>
        <c:auto val="1"/>
        <c:lblAlgn val="ctr"/>
        <c:lblOffset val="100"/>
        <c:noMultiLvlLbl val="0"/>
      </c:catAx>
      <c:valAx>
        <c:axId val="130781568"/>
        <c:scaling>
          <c:orientation val="minMax"/>
          <c:min val="18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0618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US" sz="1400" b="0"/>
              <a:t>n = 3000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Графики!$B$15:$B$21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cat>
          <c:val>
            <c:numRef>
              <c:f>Графики!$D$15:$D$21</c:f>
              <c:numCache>
                <c:formatCode>General</c:formatCode>
                <c:ptCount val="7"/>
                <c:pt idx="0">
                  <c:v>4557</c:v>
                </c:pt>
                <c:pt idx="1">
                  <c:v>3948</c:v>
                </c:pt>
                <c:pt idx="2">
                  <c:v>3448</c:v>
                </c:pt>
                <c:pt idx="3">
                  <c:v>3554</c:v>
                </c:pt>
                <c:pt idx="4">
                  <c:v>3538</c:v>
                </c:pt>
                <c:pt idx="5">
                  <c:v>3696</c:v>
                </c:pt>
                <c:pt idx="6">
                  <c:v>4272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7-409F-BFC7-51EFCBAB1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56416"/>
        <c:axId val="142235520"/>
      </c:lineChart>
      <c:catAx>
        <c:axId val="12855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235520"/>
        <c:crosses val="autoZero"/>
        <c:auto val="1"/>
        <c:lblAlgn val="ctr"/>
        <c:lblOffset val="100"/>
        <c:noMultiLvlLbl val="0"/>
      </c:catAx>
      <c:valAx>
        <c:axId val="142235520"/>
        <c:scaling>
          <c:orientation val="minMax"/>
          <c:min val="32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556416"/>
        <c:crosses val="autoZero"/>
        <c:crossBetween val="between"/>
        <c:majorUnit val="250"/>
      </c:valAx>
    </c:plotArea>
    <c:plotVisOnly val="1"/>
    <c:dispBlanksAs val="gap"/>
    <c:showDLblsOverMax val="0"/>
  </c:chart>
  <c:txPr>
    <a:bodyPr/>
    <a:lstStyle/>
    <a:p>
      <a:pPr>
        <a:defRPr>
          <a:latin typeface="GOST Common" panose="020B0604020202020204" pitchFamily="34" charset="0"/>
        </a:defRPr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Графики!$C$37:$C$44</c:f>
              <c:numCache>
                <c:formatCode>General</c:formatCode>
                <c:ptCount val="8"/>
                <c:pt idx="0">
                  <c:v>1</c:v>
                </c:pt>
                <c:pt idx="1">
                  <c:v>1.8242039634825207</c:v>
                </c:pt>
                <c:pt idx="2">
                  <c:v>2.8695271453590192</c:v>
                </c:pt>
                <c:pt idx="3">
                  <c:v>3.3804415102125027</c:v>
                </c:pt>
                <c:pt idx="4">
                  <c:v>3.8790246212121211</c:v>
                </c:pt>
                <c:pt idx="5">
                  <c:v>3.8069237918215615</c:v>
                </c:pt>
                <c:pt idx="6">
                  <c:v>3.846244131455399</c:v>
                </c:pt>
                <c:pt idx="7">
                  <c:v>3.8220200606484722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3-434D-9938-58BE01086F56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53-434D-9938-58BE01086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Графики!$D$37:$D$44</c:f>
              <c:numCache>
                <c:formatCode>General</c:formatCode>
                <c:ptCount val="8"/>
                <c:pt idx="0">
                  <c:v>1</c:v>
                </c:pt>
                <c:pt idx="1">
                  <c:v>1.750242013552759</c:v>
                </c:pt>
                <c:pt idx="2">
                  <c:v>2.5286713286713285</c:v>
                </c:pt>
                <c:pt idx="3">
                  <c:v>2.9834983498349836</c:v>
                </c:pt>
                <c:pt idx="4">
                  <c:v>3.0386554621848738</c:v>
                </c:pt>
                <c:pt idx="5">
                  <c:v>2.8250000000000002</c:v>
                </c:pt>
                <c:pt idx="6">
                  <c:v>2.6588235294117646</c:v>
                </c:pt>
                <c:pt idx="7">
                  <c:v>2.6432748538011697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86-4284-B95C-248E82DB5EA3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86-4284-B95C-248E82DB5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Графики!$C$47:$C$54</c:f>
              <c:numCache>
                <c:formatCode>General</c:formatCode>
                <c:ptCount val="8"/>
                <c:pt idx="0">
                  <c:v>1</c:v>
                </c:pt>
                <c:pt idx="1">
                  <c:v>0.91210198174126034</c:v>
                </c:pt>
                <c:pt idx="2">
                  <c:v>0.7173817863397548</c:v>
                </c:pt>
                <c:pt idx="3">
                  <c:v>0.56340691836875045</c:v>
                </c:pt>
                <c:pt idx="4">
                  <c:v>0.48487807765151514</c:v>
                </c:pt>
                <c:pt idx="5">
                  <c:v>0.38069237918215615</c:v>
                </c:pt>
                <c:pt idx="6">
                  <c:v>0.3205203442879499</c:v>
                </c:pt>
                <c:pt idx="7">
                  <c:v>0.23887625379052951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9-4A72-9982-48C3352142CC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159-4A72-9982-48C335214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Графики!$D$47:$D$54</c:f>
              <c:numCache>
                <c:formatCode>General</c:formatCode>
                <c:ptCount val="8"/>
                <c:pt idx="0">
                  <c:v>1</c:v>
                </c:pt>
                <c:pt idx="1">
                  <c:v>0.8751210067763795</c:v>
                </c:pt>
                <c:pt idx="2">
                  <c:v>0.63216783216783212</c:v>
                </c:pt>
                <c:pt idx="3">
                  <c:v>0.49724972497249725</c:v>
                </c:pt>
                <c:pt idx="4">
                  <c:v>0.37983193277310923</c:v>
                </c:pt>
                <c:pt idx="5">
                  <c:v>0.28250000000000003</c:v>
                </c:pt>
                <c:pt idx="6">
                  <c:v>0.22156862745098038</c:v>
                </c:pt>
                <c:pt idx="7">
                  <c:v>0.1652046783625731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9-4D16-8331-ED141334A505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8D49-4D16-8331-ED141334A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Графики!$C$27:$C$34</c:f>
              <c:numCache>
                <c:formatCode>General</c:formatCode>
                <c:ptCount val="8"/>
                <c:pt idx="0">
                  <c:v>16385</c:v>
                </c:pt>
                <c:pt idx="1">
                  <c:v>8982</c:v>
                </c:pt>
                <c:pt idx="2">
                  <c:v>5710</c:v>
                </c:pt>
                <c:pt idx="3">
                  <c:v>4847</c:v>
                </c:pt>
                <c:pt idx="4">
                  <c:v>4224</c:v>
                </c:pt>
                <c:pt idx="5">
                  <c:v>4304</c:v>
                </c:pt>
                <c:pt idx="6">
                  <c:v>4260</c:v>
                </c:pt>
                <c:pt idx="7">
                  <c:v>4287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8F-4439-A6B7-C68E2870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Графики!$D$27:$D$34</c:f>
              <c:numCache>
                <c:formatCode>General</c:formatCode>
                <c:ptCount val="8"/>
                <c:pt idx="0">
                  <c:v>3616</c:v>
                </c:pt>
                <c:pt idx="1">
                  <c:v>2066</c:v>
                </c:pt>
                <c:pt idx="2">
                  <c:v>1430</c:v>
                </c:pt>
                <c:pt idx="3">
                  <c:v>1212</c:v>
                </c:pt>
                <c:pt idx="4">
                  <c:v>1190</c:v>
                </c:pt>
                <c:pt idx="5">
                  <c:v>1280</c:v>
                </c:pt>
                <c:pt idx="6">
                  <c:v>1360</c:v>
                </c:pt>
                <c:pt idx="7">
                  <c:v>1368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E-4FD3-88ED-A1FDD7309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Графики!$C$69:$C$76</c:f>
              <c:numCache>
                <c:formatCode>General</c:formatCode>
                <c:ptCount val="8"/>
                <c:pt idx="0">
                  <c:v>1</c:v>
                </c:pt>
                <c:pt idx="1">
                  <c:v>1.2782564622402433</c:v>
                </c:pt>
                <c:pt idx="2">
                  <c:v>1.8912635920509937</c:v>
                </c:pt>
                <c:pt idx="3">
                  <c:v>1.7209143636983963</c:v>
                </c:pt>
                <c:pt idx="4">
                  <c:v>1.8183129055515501</c:v>
                </c:pt>
                <c:pt idx="5">
                  <c:v>1.759944173063503</c:v>
                </c:pt>
                <c:pt idx="6">
                  <c:v>1.8189686260367832</c:v>
                </c:pt>
                <c:pt idx="7">
                  <c:v>1.8640059127864006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E9-423E-B5B7-A8C0CC39EA89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9-423E-B5B7-A8C0CC39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Графики!$D$69:$D$76</c:f>
              <c:numCache>
                <c:formatCode>General</c:formatCode>
                <c:ptCount val="8"/>
                <c:pt idx="0">
                  <c:v>1</c:v>
                </c:pt>
                <c:pt idx="1">
                  <c:v>1.3200468933177023</c:v>
                </c:pt>
                <c:pt idx="2">
                  <c:v>1.603988603988604</c:v>
                </c:pt>
                <c:pt idx="3">
                  <c:v>1.3533653846153846</c:v>
                </c:pt>
                <c:pt idx="4">
                  <c:v>1.3799019607843137</c:v>
                </c:pt>
                <c:pt idx="5">
                  <c:v>1.3341232227488151</c:v>
                </c:pt>
                <c:pt idx="6">
                  <c:v>1.2766439909297052</c:v>
                </c:pt>
                <c:pt idx="7">
                  <c:v>1.2360043907793634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5-4964-A7D2-6F7E4AE0C661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35-4964-A7D2-6F7E4AE0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Графики!$C$79:$C$86</c:f>
              <c:numCache>
                <c:formatCode>General</c:formatCode>
                <c:ptCount val="8"/>
                <c:pt idx="0">
                  <c:v>1</c:v>
                </c:pt>
                <c:pt idx="1">
                  <c:v>0.63912823112012163</c:v>
                </c:pt>
                <c:pt idx="2">
                  <c:v>0.47281589801274843</c:v>
                </c:pt>
                <c:pt idx="3">
                  <c:v>0.28681906061639939</c:v>
                </c:pt>
                <c:pt idx="4">
                  <c:v>0.22728911319394376</c:v>
                </c:pt>
                <c:pt idx="5">
                  <c:v>0.17599441730635029</c:v>
                </c:pt>
                <c:pt idx="6">
                  <c:v>0.15158071883639859</c:v>
                </c:pt>
                <c:pt idx="7">
                  <c:v>0.11650036954915004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3E-4132-A634-67AB89E2CEEF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573E-4132-A634-67AB89E2C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Графики!$D$79:$D$86</c:f>
              <c:numCache>
                <c:formatCode>General</c:formatCode>
                <c:ptCount val="8"/>
                <c:pt idx="0">
                  <c:v>1</c:v>
                </c:pt>
                <c:pt idx="1">
                  <c:v>0.66002344665885115</c:v>
                </c:pt>
                <c:pt idx="2">
                  <c:v>0.400997150997151</c:v>
                </c:pt>
                <c:pt idx="3">
                  <c:v>0.22556089743589744</c:v>
                </c:pt>
                <c:pt idx="4">
                  <c:v>0.17248774509803921</c:v>
                </c:pt>
                <c:pt idx="5">
                  <c:v>0.13341232227488151</c:v>
                </c:pt>
                <c:pt idx="6">
                  <c:v>0.10638699924414209</c:v>
                </c:pt>
                <c:pt idx="7">
                  <c:v>7.7250274423710213E-2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2-454A-8D64-9A4BEBB5D3D5}"/>
            </c:ext>
          </c:extLst>
        </c:ser>
        <c:ser>
          <c:idx val="1"/>
          <c:order val="1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BC22-454A-8D64-9A4BEBB5D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Графики!$C$59:$C$66</c:f>
              <c:numCache>
                <c:formatCode>General</c:formatCode>
                <c:ptCount val="8"/>
                <c:pt idx="0">
                  <c:v>5044</c:v>
                </c:pt>
                <c:pt idx="1">
                  <c:v>3946</c:v>
                </c:pt>
                <c:pt idx="2">
                  <c:v>2667</c:v>
                </c:pt>
                <c:pt idx="3">
                  <c:v>2931</c:v>
                </c:pt>
                <c:pt idx="4">
                  <c:v>2774</c:v>
                </c:pt>
                <c:pt idx="5">
                  <c:v>2866</c:v>
                </c:pt>
                <c:pt idx="6">
                  <c:v>2773</c:v>
                </c:pt>
                <c:pt idx="7">
                  <c:v>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6-4C0C-AC24-59974B082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Графики!$D$59:$D$66</c:f>
              <c:numCache>
                <c:formatCode>General</c:formatCode>
                <c:ptCount val="8"/>
                <c:pt idx="0">
                  <c:v>1126</c:v>
                </c:pt>
                <c:pt idx="1">
                  <c:v>853</c:v>
                </c:pt>
                <c:pt idx="2">
                  <c:v>702</c:v>
                </c:pt>
                <c:pt idx="3">
                  <c:v>832</c:v>
                </c:pt>
                <c:pt idx="4">
                  <c:v>816</c:v>
                </c:pt>
                <c:pt idx="5">
                  <c:v>844</c:v>
                </c:pt>
                <c:pt idx="6">
                  <c:v>882</c:v>
                </c:pt>
                <c:pt idx="7">
                  <c:v>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D-4E22-8B0F-D59A0FAB80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9054</xdr:colOff>
      <xdr:row>12</xdr:row>
      <xdr:rowOff>113168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12317" y="28292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25</xdr:row>
      <xdr:rowOff>113168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596674" y="282920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38</xdr:row>
      <xdr:rowOff>113168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96674" y="577158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51</xdr:row>
      <xdr:rowOff>113168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E00BDC-B281-41DE-A145-891E1532423F}"/>
            </a:ext>
          </a:extLst>
        </xdr:cNvPr>
        <xdr:cNvSpPr txBox="1"/>
      </xdr:nvSpPr>
      <xdr:spPr>
        <a:xfrm>
          <a:off x="9252642" y="8713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64</xdr:row>
      <xdr:rowOff>113168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00C128-7FAD-48F4-B268-E5694CE2EB2F}"/>
            </a:ext>
          </a:extLst>
        </xdr:cNvPr>
        <xdr:cNvSpPr txBox="1"/>
      </xdr:nvSpPr>
      <xdr:spPr>
        <a:xfrm>
          <a:off x="9252642" y="1165633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887240</xdr:colOff>
      <xdr:row>10</xdr:row>
      <xdr:rowOff>253497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46EFB198-613C-41EB-92C2-302FD7019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13</xdr:col>
      <xdr:colOff>887239</xdr:colOff>
      <xdr:row>10</xdr:row>
      <xdr:rowOff>244519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9B0B393B-00E7-4859-B5CE-3D4C90F4A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887240</xdr:colOff>
      <xdr:row>20</xdr:row>
      <xdr:rowOff>262550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EC7763B0-D6A2-40FC-AABC-A0C2C7C86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13</xdr:col>
      <xdr:colOff>896347</xdr:colOff>
      <xdr:row>20</xdr:row>
      <xdr:rowOff>253225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C2B63319-8D26-419E-BF23-B2F93296B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8</xdr:col>
      <xdr:colOff>878187</xdr:colOff>
      <xdr:row>43</xdr:row>
      <xdr:rowOff>270543</xdr:rowOff>
    </xdr:to>
    <xdr:graphicFrame macro="">
      <xdr:nvGraphicFramePr>
        <xdr:cNvPr id="39" name="Диаграмма 38">
          <a:extLst>
            <a:ext uri="{FF2B5EF4-FFF2-40B4-BE49-F238E27FC236}">
              <a16:creationId xmlns:a16="http://schemas.microsoft.com/office/drawing/2014/main" id="{CEEFFAA9-CDD4-49DE-87E8-B65F14245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13</xdr:col>
      <xdr:colOff>878187</xdr:colOff>
      <xdr:row>43</xdr:row>
      <xdr:rowOff>270543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FA9EC366-D93E-4462-AF26-C52CF1051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44</xdr:row>
      <xdr:rowOff>0</xdr:rowOff>
    </xdr:from>
    <xdr:to>
      <xdr:col>8</xdr:col>
      <xdr:colOff>878187</xdr:colOff>
      <xdr:row>53</xdr:row>
      <xdr:rowOff>270541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2EA5D905-7AD3-4F4F-979D-1A2784528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44</xdr:row>
      <xdr:rowOff>0</xdr:rowOff>
    </xdr:from>
    <xdr:to>
      <xdr:col>13</xdr:col>
      <xdr:colOff>878187</xdr:colOff>
      <xdr:row>53</xdr:row>
      <xdr:rowOff>270541</xdr:rowOff>
    </xdr:to>
    <xdr:graphicFrame macro="">
      <xdr:nvGraphicFramePr>
        <xdr:cNvPr id="42" name="Диаграмма 41">
          <a:extLst>
            <a:ext uri="{FF2B5EF4-FFF2-40B4-BE49-F238E27FC236}">
              <a16:creationId xmlns:a16="http://schemas.microsoft.com/office/drawing/2014/main" id="{D4E4D168-B8E9-464B-BD8D-A9C0BF158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878187</xdr:colOff>
      <xdr:row>33</xdr:row>
      <xdr:rowOff>270542</xdr:rowOff>
    </xdr:to>
    <xdr:graphicFrame macro="">
      <xdr:nvGraphicFramePr>
        <xdr:cNvPr id="43" name="Диаграмма 42">
          <a:extLst>
            <a:ext uri="{FF2B5EF4-FFF2-40B4-BE49-F238E27FC236}">
              <a16:creationId xmlns:a16="http://schemas.microsoft.com/office/drawing/2014/main" id="{DBF94A7E-EFA8-49BE-AC2F-14757EF9C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13</xdr:col>
      <xdr:colOff>878187</xdr:colOff>
      <xdr:row>33</xdr:row>
      <xdr:rowOff>270542</xdr:rowOff>
    </xdr:to>
    <xdr:graphicFrame macro="">
      <xdr:nvGraphicFramePr>
        <xdr:cNvPr id="45" name="Диаграмма 44">
          <a:extLst>
            <a:ext uri="{FF2B5EF4-FFF2-40B4-BE49-F238E27FC236}">
              <a16:creationId xmlns:a16="http://schemas.microsoft.com/office/drawing/2014/main" id="{49C2AEEA-2967-4389-8202-4311AA2F6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66</xdr:row>
      <xdr:rowOff>0</xdr:rowOff>
    </xdr:from>
    <xdr:to>
      <xdr:col>8</xdr:col>
      <xdr:colOff>878187</xdr:colOff>
      <xdr:row>75</xdr:row>
      <xdr:rowOff>270544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5DF5CF7A-A71A-4A12-8BAE-AFBA2009D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13</xdr:col>
      <xdr:colOff>878187</xdr:colOff>
      <xdr:row>75</xdr:row>
      <xdr:rowOff>270544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8073A766-DD91-41CC-B9AB-CDE3D7CDA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76</xdr:row>
      <xdr:rowOff>0</xdr:rowOff>
    </xdr:from>
    <xdr:to>
      <xdr:col>8</xdr:col>
      <xdr:colOff>878187</xdr:colOff>
      <xdr:row>85</xdr:row>
      <xdr:rowOff>270543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25152FAF-494D-4414-9CD9-93D2B0A3B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76</xdr:row>
      <xdr:rowOff>0</xdr:rowOff>
    </xdr:from>
    <xdr:to>
      <xdr:col>13</xdr:col>
      <xdr:colOff>878187</xdr:colOff>
      <xdr:row>85</xdr:row>
      <xdr:rowOff>270543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C48FED35-F1F8-4DDF-9D89-EDD47610A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56</xdr:row>
      <xdr:rowOff>0</xdr:rowOff>
    </xdr:from>
    <xdr:to>
      <xdr:col>8</xdr:col>
      <xdr:colOff>878187</xdr:colOff>
      <xdr:row>65</xdr:row>
      <xdr:rowOff>270542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019F1DE3-0FEB-4A32-B4D2-B4AAFD8F6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13</xdr:col>
      <xdr:colOff>878187</xdr:colOff>
      <xdr:row>65</xdr:row>
      <xdr:rowOff>270542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393BB104-CB8D-47E4-94CA-3613B2CAE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208229</xdr:colOff>
      <xdr:row>0</xdr:row>
      <xdr:rowOff>162962</xdr:rowOff>
    </xdr:from>
    <xdr:to>
      <xdr:col>10</xdr:col>
      <xdr:colOff>57156</xdr:colOff>
      <xdr:row>18</xdr:row>
      <xdr:rowOff>273426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AF8B7F6-D74A-4CDC-B0AF-980BCBE2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229" y="162962"/>
          <a:ext cx="5643145" cy="5162298"/>
        </a:xfrm>
        <a:prstGeom prst="rect">
          <a:avLst/>
        </a:prstGeom>
      </xdr:spPr>
    </xdr:pic>
    <xdr:clientData/>
  </xdr:twoCellAnchor>
  <xdr:twoCellAnchor editAs="oneCell">
    <xdr:from>
      <xdr:col>10</xdr:col>
      <xdr:colOff>181069</xdr:colOff>
      <xdr:row>0</xdr:row>
      <xdr:rowOff>262550</xdr:rowOff>
    </xdr:from>
    <xdr:to>
      <xdr:col>21</xdr:col>
      <xdr:colOff>176382</xdr:colOff>
      <xdr:row>6</xdr:row>
      <xdr:rowOff>257032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21F9B8A-2F8A-4250-B9AE-2A1DBD28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75287" y="262550"/>
          <a:ext cx="6368952" cy="16784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251878</xdr:colOff>
      <xdr:row>8</xdr:row>
      <xdr:rowOff>235391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37DEF32-62D1-4C14-BC14-417238EFD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422" y="280657"/>
          <a:ext cx="10681470" cy="21999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54321</xdr:colOff>
      <xdr:row>25</xdr:row>
      <xdr:rowOff>44338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430B2D8-2CEB-4D98-BB4F-24D816E34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422" y="3367889"/>
          <a:ext cx="5269117" cy="3692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opLeftCell="A52" workbookViewId="0">
      <selection activeCell="G52" sqref="G52"/>
    </sheetView>
  </sheetViews>
  <sheetFormatPr defaultRowHeight="17.850000000000001" x14ac:dyDescent="0.25"/>
  <cols>
    <col min="1" max="1" width="65.7109375" style="1" customWidth="1"/>
    <col min="2" max="5" width="26.7109375" style="1" customWidth="1"/>
    <col min="6" max="6" width="9.140625" style="1"/>
    <col min="7" max="7" width="23.140625" style="1" bestFit="1" customWidth="1"/>
    <col min="8" max="9" width="24.85546875" style="1" customWidth="1"/>
    <col min="10" max="16384" width="9.140625" style="1"/>
  </cols>
  <sheetData>
    <row r="1" spans="1:23" x14ac:dyDescent="0.2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3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23" ht="17.850000000000001" customHeight="1" x14ac:dyDescent="0.25">
      <c r="A5" s="60" t="s">
        <v>22</v>
      </c>
      <c r="B5" s="61"/>
      <c r="C5" s="61"/>
      <c r="D5" s="61"/>
      <c r="E5" s="62"/>
      <c r="G5" s="67" t="s">
        <v>3</v>
      </c>
      <c r="H5" s="67"/>
      <c r="S5" s="5"/>
      <c r="T5" s="13"/>
      <c r="U5" s="13"/>
      <c r="V5" s="13"/>
      <c r="W5" s="13"/>
    </row>
    <row r="6" spans="1:23" x14ac:dyDescent="0.25">
      <c r="A6" s="4" t="s">
        <v>4</v>
      </c>
      <c r="B6" s="64" t="s">
        <v>5</v>
      </c>
      <c r="C6" s="64"/>
      <c r="D6" s="64"/>
      <c r="E6" s="64"/>
      <c r="G6" s="67"/>
      <c r="H6" s="67"/>
      <c r="S6" s="13"/>
      <c r="T6" s="13"/>
      <c r="U6" s="13"/>
      <c r="V6" s="13"/>
      <c r="W6" s="13"/>
    </row>
    <row r="7" spans="1:23" x14ac:dyDescent="0.25">
      <c r="A7" s="3" t="s">
        <v>6</v>
      </c>
      <c r="B7" s="7">
        <v>1000</v>
      </c>
      <c r="C7" s="7">
        <v>3000</v>
      </c>
      <c r="D7" s="8">
        <v>7000</v>
      </c>
      <c r="E7" s="8">
        <v>10000</v>
      </c>
      <c r="G7" s="67"/>
      <c r="H7" s="67"/>
      <c r="S7" s="13"/>
      <c r="T7" s="13"/>
      <c r="U7" s="13"/>
      <c r="V7" s="13"/>
      <c r="W7" s="13"/>
    </row>
    <row r="8" spans="1:23" x14ac:dyDescent="0.25">
      <c r="A8" s="65" t="s">
        <v>11</v>
      </c>
      <c r="B8" s="65"/>
      <c r="C8" s="65"/>
      <c r="D8" s="65"/>
      <c r="E8" s="65"/>
      <c r="G8" s="67"/>
      <c r="H8" s="67"/>
      <c r="S8" s="13"/>
      <c r="T8" s="13"/>
      <c r="U8" s="13"/>
      <c r="V8" s="13"/>
      <c r="W8" s="13"/>
    </row>
    <row r="9" spans="1:23" x14ac:dyDescent="0.25">
      <c r="A9" s="3" t="s">
        <v>7</v>
      </c>
      <c r="B9" s="9">
        <v>20</v>
      </c>
      <c r="C9" s="10">
        <v>197</v>
      </c>
      <c r="D9" s="10">
        <v>1042</v>
      </c>
      <c r="E9" s="10">
        <v>1746</v>
      </c>
      <c r="S9" s="13"/>
      <c r="T9" s="13"/>
      <c r="U9" s="13"/>
      <c r="V9" s="13"/>
      <c r="W9" s="13"/>
    </row>
    <row r="10" spans="1:23" x14ac:dyDescent="0.25">
      <c r="A10" s="3" t="s">
        <v>8</v>
      </c>
      <c r="B10" s="9">
        <v>753</v>
      </c>
      <c r="C10" s="10" t="s">
        <v>13</v>
      </c>
      <c r="D10" s="10" t="s">
        <v>15</v>
      </c>
      <c r="E10" s="10" t="s">
        <v>17</v>
      </c>
      <c r="S10" s="5"/>
      <c r="T10" s="5"/>
      <c r="U10" s="5"/>
      <c r="V10" s="5"/>
      <c r="W10" s="5"/>
    </row>
    <row r="11" spans="1:23" x14ac:dyDescent="0.25">
      <c r="A11" s="3" t="s">
        <v>9</v>
      </c>
      <c r="B11" s="9">
        <v>776</v>
      </c>
      <c r="C11" s="10" t="s">
        <v>14</v>
      </c>
      <c r="D11" s="10" t="s">
        <v>16</v>
      </c>
      <c r="E11" s="10" t="s">
        <v>18</v>
      </c>
      <c r="F11" s="5"/>
      <c r="G11" s="5"/>
      <c r="S11" s="5"/>
      <c r="T11" s="5"/>
      <c r="U11" s="5"/>
      <c r="V11" s="5"/>
      <c r="W11" s="5"/>
    </row>
    <row r="12" spans="1:23" x14ac:dyDescent="0.25">
      <c r="A12" s="65" t="s">
        <v>12</v>
      </c>
      <c r="B12" s="65"/>
      <c r="C12" s="65"/>
      <c r="D12" s="65"/>
      <c r="E12" s="65"/>
      <c r="F12" s="5"/>
    </row>
    <row r="13" spans="1:23" x14ac:dyDescent="0.25">
      <c r="A13" s="3" t="s">
        <v>7</v>
      </c>
      <c r="B13" s="9">
        <v>20</v>
      </c>
      <c r="C13" s="10">
        <v>232</v>
      </c>
      <c r="D13" s="69" t="s">
        <v>21</v>
      </c>
      <c r="E13" s="10">
        <v>1811</v>
      </c>
      <c r="F13" s="5"/>
    </row>
    <row r="14" spans="1:23" x14ac:dyDescent="0.25">
      <c r="A14" s="3" t="s">
        <v>8</v>
      </c>
      <c r="B14" s="9">
        <v>904</v>
      </c>
      <c r="C14" s="10" t="s">
        <v>19</v>
      </c>
      <c r="D14" s="70"/>
      <c r="E14" s="10" t="s">
        <v>10</v>
      </c>
      <c r="F14" s="5"/>
      <c r="G14" s="5"/>
      <c r="H14" s="5"/>
    </row>
    <row r="15" spans="1:23" x14ac:dyDescent="0.25">
      <c r="A15" s="3" t="s">
        <v>9</v>
      </c>
      <c r="B15" s="9">
        <v>926</v>
      </c>
      <c r="C15" s="10" t="s">
        <v>20</v>
      </c>
      <c r="D15" s="71"/>
      <c r="E15" s="10" t="s">
        <v>10</v>
      </c>
    </row>
    <row r="18" spans="1:9" x14ac:dyDescent="0.25">
      <c r="A18" s="72" t="s">
        <v>32</v>
      </c>
      <c r="B18" s="72"/>
      <c r="C18" s="72"/>
      <c r="D18" s="72"/>
      <c r="E18" s="72"/>
    </row>
    <row r="19" spans="1:9" x14ac:dyDescent="0.25">
      <c r="A19" s="4" t="s">
        <v>4</v>
      </c>
      <c r="B19" s="64" t="s">
        <v>5</v>
      </c>
      <c r="C19" s="64"/>
      <c r="D19" s="64"/>
      <c r="E19" s="64"/>
    </row>
    <row r="20" spans="1:9" x14ac:dyDescent="0.25">
      <c r="A20" s="3" t="s">
        <v>6</v>
      </c>
      <c r="B20" s="11">
        <v>1000</v>
      </c>
      <c r="C20" s="11">
        <v>3000</v>
      </c>
      <c r="D20" s="8">
        <v>7000</v>
      </c>
      <c r="E20" s="8">
        <v>10000</v>
      </c>
    </row>
    <row r="21" spans="1:9" x14ac:dyDescent="0.25">
      <c r="A21" s="65" t="s">
        <v>11</v>
      </c>
      <c r="B21" s="65"/>
      <c r="C21" s="65"/>
      <c r="D21" s="65"/>
      <c r="E21" s="65"/>
    </row>
    <row r="22" spans="1:9" x14ac:dyDescent="0.25">
      <c r="A22" s="3" t="s">
        <v>7</v>
      </c>
      <c r="B22" s="9" t="s">
        <v>23</v>
      </c>
      <c r="C22" s="10" t="s">
        <v>26</v>
      </c>
      <c r="D22" s="10" t="s">
        <v>29</v>
      </c>
      <c r="E22" s="10" t="s">
        <v>33</v>
      </c>
    </row>
    <row r="23" spans="1:9" x14ac:dyDescent="0.25">
      <c r="A23" s="3" t="s">
        <v>8</v>
      </c>
      <c r="B23" s="9" t="s">
        <v>24</v>
      </c>
      <c r="C23" s="10" t="s">
        <v>27</v>
      </c>
      <c r="D23" s="10" t="s">
        <v>30</v>
      </c>
      <c r="E23" s="10" t="s">
        <v>34</v>
      </c>
    </row>
    <row r="24" spans="1:9" x14ac:dyDescent="0.25">
      <c r="A24" s="3" t="s">
        <v>9</v>
      </c>
      <c r="B24" s="9" t="s">
        <v>25</v>
      </c>
      <c r="C24" s="10" t="s">
        <v>28</v>
      </c>
      <c r="D24" s="10" t="s">
        <v>31</v>
      </c>
      <c r="E24" s="10" t="s">
        <v>35</v>
      </c>
      <c r="G24" s="17"/>
      <c r="H24" s="66"/>
      <c r="I24" s="66"/>
    </row>
    <row r="25" spans="1:9" x14ac:dyDescent="0.25">
      <c r="A25" s="65" t="s">
        <v>12</v>
      </c>
      <c r="B25" s="65"/>
      <c r="C25" s="65"/>
      <c r="D25" s="65"/>
      <c r="E25" s="65"/>
      <c r="G25" s="18"/>
      <c r="H25" s="16"/>
      <c r="I25" s="16"/>
    </row>
    <row r="26" spans="1:9" x14ac:dyDescent="0.25">
      <c r="A26" s="3" t="s">
        <v>7</v>
      </c>
      <c r="B26" s="9" t="s">
        <v>36</v>
      </c>
      <c r="C26" s="10" t="s">
        <v>39</v>
      </c>
      <c r="D26" s="10" t="s">
        <v>41</v>
      </c>
      <c r="E26" s="10" t="s">
        <v>46</v>
      </c>
      <c r="G26" s="19"/>
      <c r="H26" s="20"/>
      <c r="I26" s="21"/>
    </row>
    <row r="27" spans="1:9" x14ac:dyDescent="0.25">
      <c r="A27" s="3" t="s">
        <v>8</v>
      </c>
      <c r="B27" s="9" t="s">
        <v>37</v>
      </c>
      <c r="C27" s="10" t="s">
        <v>44</v>
      </c>
      <c r="D27" s="10" t="s">
        <v>42</v>
      </c>
      <c r="E27" s="10" t="s">
        <v>48</v>
      </c>
      <c r="G27" s="19"/>
      <c r="H27" s="20"/>
      <c r="I27" s="17"/>
    </row>
    <row r="28" spans="1:9" x14ac:dyDescent="0.25">
      <c r="A28" s="3" t="s">
        <v>9</v>
      </c>
      <c r="B28" s="9" t="s">
        <v>38</v>
      </c>
      <c r="C28" s="10" t="s">
        <v>45</v>
      </c>
      <c r="D28" s="10" t="s">
        <v>43</v>
      </c>
      <c r="E28" s="10" t="s">
        <v>49</v>
      </c>
      <c r="G28" s="22"/>
      <c r="H28" s="17"/>
      <c r="I28" s="17"/>
    </row>
    <row r="29" spans="1:9" x14ac:dyDescent="0.25">
      <c r="C29" s="1" t="s">
        <v>40</v>
      </c>
      <c r="D29" s="1" t="s">
        <v>47</v>
      </c>
      <c r="E29" s="1" t="s">
        <v>50</v>
      </c>
      <c r="G29" s="19"/>
      <c r="H29" s="20"/>
      <c r="I29" s="17"/>
    </row>
    <row r="30" spans="1:9" x14ac:dyDescent="0.25">
      <c r="G30" s="22"/>
      <c r="H30" s="17"/>
      <c r="I30" s="17"/>
    </row>
    <row r="31" spans="1:9" x14ac:dyDescent="0.25">
      <c r="A31" s="60" t="s">
        <v>70</v>
      </c>
      <c r="B31" s="61"/>
      <c r="C31" s="62"/>
      <c r="D31" s="63" t="s">
        <v>91</v>
      </c>
      <c r="E31" s="63" t="s">
        <v>91</v>
      </c>
      <c r="G31" s="19"/>
      <c r="H31" s="20"/>
      <c r="I31" s="17"/>
    </row>
    <row r="32" spans="1:9" x14ac:dyDescent="0.25">
      <c r="A32" s="4" t="s">
        <v>4</v>
      </c>
      <c r="B32" s="64" t="s">
        <v>5</v>
      </c>
      <c r="C32" s="64"/>
      <c r="D32" s="64"/>
      <c r="E32" s="64"/>
      <c r="G32" s="22"/>
      <c r="H32" s="17"/>
      <c r="I32" s="17"/>
    </row>
    <row r="33" spans="1:9" x14ac:dyDescent="0.25">
      <c r="A33" s="3" t="s">
        <v>6</v>
      </c>
      <c r="B33" s="12">
        <v>1000</v>
      </c>
      <c r="C33" s="12">
        <v>3000</v>
      </c>
      <c r="D33" s="8">
        <v>7000</v>
      </c>
      <c r="E33" s="8">
        <v>10000</v>
      </c>
      <c r="G33" s="19"/>
      <c r="H33" s="20"/>
      <c r="I33" s="17"/>
    </row>
    <row r="34" spans="1:9" x14ac:dyDescent="0.25">
      <c r="A34" s="65" t="s">
        <v>11</v>
      </c>
      <c r="B34" s="65"/>
      <c r="C34" s="65"/>
      <c r="D34" s="65"/>
      <c r="E34" s="65"/>
      <c r="G34" s="22"/>
      <c r="H34" s="17"/>
      <c r="I34" s="17"/>
    </row>
    <row r="35" spans="1:9" x14ac:dyDescent="0.25">
      <c r="A35" s="3" t="s">
        <v>7</v>
      </c>
      <c r="B35" s="9" t="s">
        <v>60</v>
      </c>
      <c r="C35" s="10" t="s">
        <v>57</v>
      </c>
      <c r="D35" s="10" t="s">
        <v>52</v>
      </c>
      <c r="E35" s="10" t="s">
        <v>51</v>
      </c>
      <c r="G35" s="22"/>
      <c r="H35" s="17"/>
      <c r="I35" s="17"/>
    </row>
    <row r="36" spans="1:9" x14ac:dyDescent="0.25">
      <c r="A36" s="3" t="s">
        <v>8</v>
      </c>
      <c r="B36" s="9" t="s">
        <v>61</v>
      </c>
      <c r="C36" s="10" t="s">
        <v>58</v>
      </c>
      <c r="D36" s="10" t="s">
        <v>55</v>
      </c>
      <c r="E36" s="10" t="s">
        <v>53</v>
      </c>
      <c r="G36" s="22"/>
      <c r="H36" s="17"/>
      <c r="I36" s="17"/>
    </row>
    <row r="37" spans="1:9" x14ac:dyDescent="0.25">
      <c r="A37" s="3" t="s">
        <v>9</v>
      </c>
      <c r="B37" s="9" t="s">
        <v>62</v>
      </c>
      <c r="C37" s="10" t="s">
        <v>59</v>
      </c>
      <c r="D37" s="10" t="s">
        <v>56</v>
      </c>
      <c r="E37" s="10" t="s">
        <v>54</v>
      </c>
      <c r="G37" s="19"/>
      <c r="H37" s="20"/>
      <c r="I37" s="17"/>
    </row>
    <row r="38" spans="1:9" x14ac:dyDescent="0.25">
      <c r="A38" s="65" t="s">
        <v>12</v>
      </c>
      <c r="B38" s="65"/>
      <c r="C38" s="65"/>
      <c r="D38" s="65"/>
      <c r="E38" s="65"/>
      <c r="G38" s="22"/>
      <c r="H38" s="17"/>
      <c r="I38" s="17"/>
    </row>
    <row r="39" spans="1:9" x14ac:dyDescent="0.25">
      <c r="A39" s="3" t="s">
        <v>7</v>
      </c>
      <c r="B39" s="9" t="s">
        <v>74</v>
      </c>
      <c r="C39" s="10" t="s">
        <v>71</v>
      </c>
      <c r="D39" s="10" t="s">
        <v>67</v>
      </c>
      <c r="E39" s="10" t="s">
        <v>63</v>
      </c>
      <c r="G39" s="22"/>
      <c r="H39" s="17"/>
      <c r="I39" s="17"/>
    </row>
    <row r="40" spans="1:9" x14ac:dyDescent="0.25">
      <c r="A40" s="3" t="s">
        <v>8</v>
      </c>
      <c r="B40" s="9" t="s">
        <v>75</v>
      </c>
      <c r="C40" s="10" t="s">
        <v>72</v>
      </c>
      <c r="D40" s="10" t="s">
        <v>68</v>
      </c>
      <c r="E40" s="10" t="s">
        <v>64</v>
      </c>
      <c r="G40" s="22"/>
      <c r="H40" s="17"/>
      <c r="I40" s="17"/>
    </row>
    <row r="41" spans="1:9" x14ac:dyDescent="0.25">
      <c r="A41" s="3" t="s">
        <v>9</v>
      </c>
      <c r="B41" s="9" t="s">
        <v>76</v>
      </c>
      <c r="C41" s="10" t="s">
        <v>73</v>
      </c>
      <c r="D41" s="10" t="s">
        <v>69</v>
      </c>
      <c r="E41" s="10" t="s">
        <v>65</v>
      </c>
      <c r="G41" s="19"/>
      <c r="H41" s="20"/>
      <c r="I41" s="17"/>
    </row>
    <row r="42" spans="1:9" x14ac:dyDescent="0.25">
      <c r="B42" s="68" t="s">
        <v>66</v>
      </c>
      <c r="C42" s="68"/>
      <c r="D42" s="68"/>
      <c r="E42" s="68"/>
    </row>
    <row r="44" spans="1:9" x14ac:dyDescent="0.25">
      <c r="A44" s="60" t="s">
        <v>82</v>
      </c>
      <c r="B44" s="61"/>
      <c r="C44" s="62"/>
      <c r="D44" s="63" t="s">
        <v>92</v>
      </c>
      <c r="E44" s="63" t="s">
        <v>91</v>
      </c>
    </row>
    <row r="45" spans="1:9" x14ac:dyDescent="0.25">
      <c r="A45" s="4" t="s">
        <v>4</v>
      </c>
      <c r="B45" s="64" t="s">
        <v>5</v>
      </c>
      <c r="C45" s="64"/>
      <c r="D45" s="64"/>
      <c r="E45" s="64"/>
    </row>
    <row r="46" spans="1:9" x14ac:dyDescent="0.25">
      <c r="A46" s="3" t="s">
        <v>6</v>
      </c>
      <c r="B46" s="27">
        <v>1000</v>
      </c>
      <c r="C46" s="27">
        <v>3000</v>
      </c>
      <c r="D46" s="8">
        <v>7000</v>
      </c>
      <c r="E46" s="8">
        <v>10000</v>
      </c>
    </row>
    <row r="47" spans="1:9" x14ac:dyDescent="0.25">
      <c r="A47" s="65" t="s">
        <v>11</v>
      </c>
      <c r="B47" s="65"/>
      <c r="C47" s="65"/>
      <c r="D47" s="65"/>
      <c r="E47" s="65"/>
      <c r="G47" s="1" t="s">
        <v>95</v>
      </c>
      <c r="H47" s="1" t="s">
        <v>94</v>
      </c>
    </row>
    <row r="48" spans="1:9" x14ac:dyDescent="0.25">
      <c r="A48" s="3" t="s">
        <v>7</v>
      </c>
      <c r="B48" s="9">
        <v>15</v>
      </c>
      <c r="C48" s="10">
        <v>150</v>
      </c>
      <c r="D48" s="10">
        <v>729</v>
      </c>
      <c r="E48" s="10">
        <v>1519</v>
      </c>
      <c r="G48" s="1">
        <v>64</v>
      </c>
      <c r="H48" s="1">
        <v>30687</v>
      </c>
    </row>
    <row r="49" spans="1:8" x14ac:dyDescent="0.25">
      <c r="A49" s="3" t="s">
        <v>8</v>
      </c>
      <c r="B49" s="9">
        <v>52</v>
      </c>
      <c r="C49" s="10">
        <v>903</v>
      </c>
      <c r="D49" s="10">
        <v>10267</v>
      </c>
      <c r="E49" s="10">
        <v>26615</v>
      </c>
      <c r="G49" s="1">
        <v>128</v>
      </c>
      <c r="H49" s="1">
        <v>30690</v>
      </c>
    </row>
    <row r="50" spans="1:8" x14ac:dyDescent="0.25">
      <c r="A50" s="3" t="s">
        <v>9</v>
      </c>
      <c r="B50" s="9">
        <v>68</v>
      </c>
      <c r="C50" s="10">
        <v>1053</v>
      </c>
      <c r="D50" s="10">
        <v>10997</v>
      </c>
      <c r="E50" s="10">
        <v>28134</v>
      </c>
      <c r="G50" s="1">
        <v>256</v>
      </c>
      <c r="H50" s="1">
        <v>32278</v>
      </c>
    </row>
    <row r="51" spans="1:8" x14ac:dyDescent="0.25">
      <c r="A51" s="65" t="s">
        <v>12</v>
      </c>
      <c r="B51" s="65"/>
      <c r="C51" s="65"/>
      <c r="D51" s="65"/>
      <c r="E51" s="65"/>
    </row>
    <row r="52" spans="1:8" x14ac:dyDescent="0.25">
      <c r="A52" s="3" t="s">
        <v>7</v>
      </c>
      <c r="B52" s="9">
        <v>16</v>
      </c>
      <c r="C52" s="10">
        <v>154</v>
      </c>
      <c r="D52" s="10">
        <v>851</v>
      </c>
      <c r="E52" s="10">
        <v>1750</v>
      </c>
    </row>
    <row r="53" spans="1:8" x14ac:dyDescent="0.25">
      <c r="A53" s="3" t="s">
        <v>8</v>
      </c>
      <c r="B53" s="9">
        <v>118</v>
      </c>
      <c r="C53" s="10">
        <v>2705</v>
      </c>
      <c r="D53" s="10">
        <v>33526</v>
      </c>
      <c r="E53" s="10">
        <v>97103</v>
      </c>
    </row>
    <row r="54" spans="1:8" x14ac:dyDescent="0.25">
      <c r="A54" s="3" t="s">
        <v>9</v>
      </c>
      <c r="B54" s="9">
        <v>135</v>
      </c>
      <c r="C54" s="10">
        <v>2860</v>
      </c>
      <c r="D54" s="10">
        <v>34378</v>
      </c>
      <c r="E54" s="10">
        <v>98853</v>
      </c>
    </row>
    <row r="55" spans="1:8" x14ac:dyDescent="0.25">
      <c r="C55" s="1" t="s">
        <v>83</v>
      </c>
    </row>
    <row r="57" spans="1:8" x14ac:dyDescent="0.25">
      <c r="A57" s="60" t="s">
        <v>104</v>
      </c>
      <c r="B57" s="61"/>
      <c r="C57" s="62"/>
      <c r="D57" s="63" t="s">
        <v>92</v>
      </c>
      <c r="E57" s="63" t="s">
        <v>91</v>
      </c>
    </row>
    <row r="58" spans="1:8" x14ac:dyDescent="0.25">
      <c r="A58" s="4" t="s">
        <v>4</v>
      </c>
      <c r="B58" s="64" t="s">
        <v>5</v>
      </c>
      <c r="C58" s="64"/>
      <c r="D58" s="64"/>
      <c r="E58" s="64"/>
    </row>
    <row r="59" spans="1:8" x14ac:dyDescent="0.25">
      <c r="A59" s="3" t="s">
        <v>6</v>
      </c>
      <c r="B59" s="44">
        <v>1000</v>
      </c>
      <c r="C59" s="44">
        <v>3000</v>
      </c>
      <c r="D59" s="8">
        <v>7000</v>
      </c>
      <c r="E59" s="8">
        <v>10000</v>
      </c>
    </row>
    <row r="60" spans="1:8" x14ac:dyDescent="0.25">
      <c r="A60" s="65" t="s">
        <v>11</v>
      </c>
      <c r="B60" s="65"/>
      <c r="C60" s="65"/>
      <c r="D60" s="65"/>
      <c r="E60" s="65"/>
    </row>
    <row r="61" spans="1:8" x14ac:dyDescent="0.25">
      <c r="A61" s="3" t="s">
        <v>7</v>
      </c>
      <c r="B61" s="9">
        <v>20</v>
      </c>
      <c r="C61" s="10">
        <v>133</v>
      </c>
      <c r="D61" s="10">
        <v>546</v>
      </c>
      <c r="E61" s="10">
        <v>987</v>
      </c>
    </row>
    <row r="62" spans="1:8" x14ac:dyDescent="0.25">
      <c r="A62" s="47" t="s">
        <v>8</v>
      </c>
      <c r="B62" s="48">
        <v>58</v>
      </c>
      <c r="C62" s="48">
        <v>667</v>
      </c>
      <c r="D62" s="48">
        <v>5417</v>
      </c>
      <c r="E62" s="48">
        <v>14294</v>
      </c>
    </row>
    <row r="63" spans="1:8" x14ac:dyDescent="0.25">
      <c r="A63" s="3" t="s">
        <v>9</v>
      </c>
      <c r="B63" s="9">
        <v>79</v>
      </c>
      <c r="C63" s="10">
        <v>800</v>
      </c>
      <c r="D63" s="10">
        <v>5963</v>
      </c>
      <c r="E63" s="10">
        <v>15281</v>
      </c>
    </row>
    <row r="64" spans="1:8" x14ac:dyDescent="0.25">
      <c r="A64" s="65" t="s">
        <v>12</v>
      </c>
      <c r="B64" s="65"/>
      <c r="C64" s="65"/>
      <c r="D64" s="65"/>
      <c r="E64" s="65"/>
    </row>
    <row r="65" spans="1:5" x14ac:dyDescent="0.25">
      <c r="A65" s="3" t="s">
        <v>7</v>
      </c>
      <c r="B65" s="9">
        <v>10</v>
      </c>
      <c r="C65" s="10">
        <v>89</v>
      </c>
      <c r="D65" s="10">
        <v>491</v>
      </c>
      <c r="E65" s="10">
        <v>1019</v>
      </c>
    </row>
    <row r="66" spans="1:5" x14ac:dyDescent="0.25">
      <c r="A66" s="3" t="s">
        <v>8</v>
      </c>
      <c r="B66" s="9">
        <v>59</v>
      </c>
      <c r="C66" s="10">
        <v>1630</v>
      </c>
      <c r="D66" s="10">
        <v>19964</v>
      </c>
      <c r="E66" s="10">
        <v>58818</v>
      </c>
    </row>
    <row r="67" spans="1:5" x14ac:dyDescent="0.25">
      <c r="A67" s="3" t="s">
        <v>9</v>
      </c>
      <c r="B67" s="9">
        <v>70</v>
      </c>
      <c r="C67" s="10">
        <v>1727</v>
      </c>
      <c r="D67" s="10">
        <v>20456</v>
      </c>
      <c r="E67" s="10">
        <v>59837</v>
      </c>
    </row>
    <row r="68" spans="1:5" x14ac:dyDescent="0.25">
      <c r="C68" s="1" t="s">
        <v>105</v>
      </c>
    </row>
  </sheetData>
  <mergeCells count="27">
    <mergeCell ref="H24:I24"/>
    <mergeCell ref="G5:H8"/>
    <mergeCell ref="B42:E42"/>
    <mergeCell ref="B32:E32"/>
    <mergeCell ref="A34:E34"/>
    <mergeCell ref="A38:E38"/>
    <mergeCell ref="B6:E6"/>
    <mergeCell ref="A12:E12"/>
    <mergeCell ref="A8:E8"/>
    <mergeCell ref="A5:E5"/>
    <mergeCell ref="D13:D15"/>
    <mergeCell ref="A18:E18"/>
    <mergeCell ref="B19:E19"/>
    <mergeCell ref="A21:E21"/>
    <mergeCell ref="A25:E25"/>
    <mergeCell ref="B45:E45"/>
    <mergeCell ref="A47:E47"/>
    <mergeCell ref="A51:E51"/>
    <mergeCell ref="D44:E44"/>
    <mergeCell ref="D31:E31"/>
    <mergeCell ref="A44:C44"/>
    <mergeCell ref="A31:C31"/>
    <mergeCell ref="A57:C57"/>
    <mergeCell ref="D57:E57"/>
    <mergeCell ref="B58:E58"/>
    <mergeCell ref="A60:E60"/>
    <mergeCell ref="A64:E64"/>
  </mergeCells>
  <phoneticPr fontId="8" type="noConversion"/>
  <hyperlinks>
    <hyperlink ref="E31" location="Графики!A1" display="Соотв. графики" xr:uid="{B555E463-05C4-4E05-8D89-54A4D9AA7A6E}"/>
    <hyperlink ref="E44" location="Графики!A24" display="Соотв. графики" xr:uid="{E92A20FD-A4FF-4EDF-8463-75004668F010}"/>
    <hyperlink ref="E57" location="Графики!A24" display="Соотв. графики" xr:uid="{39731055-7576-4263-867D-94DEBEDAB40D}"/>
    <hyperlink ref="D57:E57" location="Графики!A56" display="Соотв. Графики" xr:uid="{40D6EEEA-2F7B-4D18-9EDE-A0B9545B3F89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93"/>
  <sheetViews>
    <sheetView topLeftCell="A61" zoomScaleNormal="100" workbookViewId="0">
      <selection activeCell="R8" sqref="R8"/>
    </sheetView>
  </sheetViews>
  <sheetFormatPr defaultRowHeight="21.6" customHeight="1" x14ac:dyDescent="0.2"/>
  <cols>
    <col min="1" max="1" width="15.28515625" style="25" customWidth="1"/>
    <col min="2" max="2" width="28" style="25" customWidth="1"/>
    <col min="3" max="3" width="23.5703125" style="25" customWidth="1"/>
    <col min="4" max="5" width="21.42578125" style="25" customWidth="1"/>
    <col min="6" max="16" width="14.28515625" style="25" customWidth="1"/>
    <col min="17" max="17" width="23.140625" style="25" bestFit="1" customWidth="1"/>
    <col min="18" max="20" width="14.28515625" style="25" customWidth="1"/>
    <col min="21" max="29" width="9.7109375" style="25" customWidth="1"/>
    <col min="30" max="16384" width="9.140625" style="25"/>
  </cols>
  <sheetData>
    <row r="1" spans="1:26" ht="21.6" customHeight="1" x14ac:dyDescent="0.25">
      <c r="A1" s="72" t="s">
        <v>84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63" t="s">
        <v>90</v>
      </c>
      <c r="N1" s="63"/>
      <c r="O1" s="35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21.6" customHeight="1" x14ac:dyDescent="0.25">
      <c r="A2" s="74" t="s">
        <v>85</v>
      </c>
      <c r="B2" s="83" t="s">
        <v>78</v>
      </c>
      <c r="C2" s="84"/>
      <c r="D2" s="85"/>
      <c r="E2" s="30"/>
      <c r="F2" s="30"/>
      <c r="G2" s="30"/>
      <c r="H2" s="30"/>
      <c r="I2" s="30"/>
      <c r="J2" s="30"/>
      <c r="K2" s="30"/>
      <c r="L2" s="30"/>
      <c r="M2" s="30"/>
      <c r="N2" s="33"/>
      <c r="O2" s="36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1.6" customHeight="1" x14ac:dyDescent="0.25">
      <c r="A3" s="74"/>
      <c r="B3" s="28" t="s">
        <v>77</v>
      </c>
      <c r="C3" s="24" t="s">
        <v>79</v>
      </c>
      <c r="D3" s="24" t="s">
        <v>80</v>
      </c>
      <c r="E3" s="30"/>
      <c r="F3" s="30"/>
      <c r="G3" s="30"/>
      <c r="H3" s="30"/>
      <c r="I3" s="30"/>
      <c r="J3" s="30"/>
      <c r="K3" s="30"/>
      <c r="L3" s="30"/>
      <c r="M3" s="30"/>
      <c r="N3" s="33"/>
      <c r="O3" s="36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21.6" customHeight="1" x14ac:dyDescent="0.25">
      <c r="A4" s="74"/>
      <c r="B4" s="14">
        <v>1</v>
      </c>
      <c r="C4" s="23">
        <v>40525</v>
      </c>
      <c r="D4" s="39">
        <v>8737</v>
      </c>
      <c r="E4" s="30"/>
      <c r="F4" s="30"/>
      <c r="G4" s="30"/>
      <c r="H4" s="30"/>
      <c r="I4" s="30"/>
      <c r="J4" s="30"/>
      <c r="K4" s="30"/>
      <c r="L4" s="30"/>
      <c r="M4" s="30"/>
      <c r="N4" s="33"/>
      <c r="O4" s="36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21.6" customHeight="1" x14ac:dyDescent="0.25">
      <c r="A5" s="74"/>
      <c r="B5" s="14">
        <v>2</v>
      </c>
      <c r="C5" s="23">
        <v>40933</v>
      </c>
      <c r="D5" s="39">
        <v>8116</v>
      </c>
      <c r="E5" s="30"/>
      <c r="F5" s="30"/>
      <c r="G5" s="30"/>
      <c r="H5" s="30"/>
      <c r="I5" s="30"/>
      <c r="J5" s="30"/>
      <c r="K5" s="30"/>
      <c r="L5" s="30"/>
      <c r="M5" s="30"/>
      <c r="N5" s="33"/>
      <c r="O5" s="36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21.6" customHeight="1" x14ac:dyDescent="0.25">
      <c r="A6" s="74"/>
      <c r="B6" s="14">
        <v>4</v>
      </c>
      <c r="C6" s="23">
        <v>34657</v>
      </c>
      <c r="D6" s="39">
        <v>7387</v>
      </c>
      <c r="E6" s="30"/>
      <c r="F6" s="30"/>
      <c r="G6" s="30"/>
      <c r="H6" s="30"/>
      <c r="I6" s="30"/>
      <c r="J6" s="30"/>
      <c r="K6" s="30"/>
      <c r="L6" s="30"/>
      <c r="M6" s="30"/>
      <c r="N6" s="33"/>
      <c r="O6" s="37"/>
    </row>
    <row r="7" spans="1:26" ht="21.6" customHeight="1" x14ac:dyDescent="0.25">
      <c r="A7" s="74"/>
      <c r="B7" s="14">
        <v>6</v>
      </c>
      <c r="C7" s="23">
        <v>38071</v>
      </c>
      <c r="D7" s="39">
        <v>7472</v>
      </c>
      <c r="E7" s="30"/>
      <c r="F7" s="30"/>
      <c r="G7" s="30"/>
      <c r="H7" s="30"/>
      <c r="I7" s="30"/>
      <c r="J7" s="30"/>
      <c r="K7" s="30"/>
      <c r="L7" s="30"/>
      <c r="M7" s="30"/>
      <c r="N7" s="33"/>
      <c r="O7" s="37"/>
    </row>
    <row r="8" spans="1:26" ht="21.6" customHeight="1" x14ac:dyDescent="0.25">
      <c r="A8" s="74"/>
      <c r="B8" s="14">
        <v>8</v>
      </c>
      <c r="C8" s="23">
        <v>37594</v>
      </c>
      <c r="D8" s="39">
        <v>7389</v>
      </c>
      <c r="E8" s="30"/>
      <c r="F8" s="30"/>
      <c r="G8" s="30"/>
      <c r="H8" s="30"/>
      <c r="I8" s="30"/>
      <c r="J8" s="30"/>
      <c r="K8" s="30"/>
      <c r="L8" s="30"/>
      <c r="M8" s="30"/>
      <c r="N8" s="33"/>
      <c r="O8" s="37"/>
    </row>
    <row r="9" spans="1:26" ht="21.6" customHeight="1" x14ac:dyDescent="0.25">
      <c r="A9" s="74"/>
      <c r="B9" s="14">
        <v>10</v>
      </c>
      <c r="C9" s="23">
        <v>36931</v>
      </c>
      <c r="D9" s="39">
        <v>8155</v>
      </c>
      <c r="E9" s="30"/>
      <c r="F9" s="30"/>
      <c r="G9" s="30"/>
      <c r="H9" s="30"/>
      <c r="I9" s="30"/>
      <c r="J9" s="30"/>
      <c r="K9" s="30"/>
      <c r="L9" s="30"/>
      <c r="M9" s="30"/>
      <c r="N9" s="33"/>
      <c r="O9" s="37"/>
    </row>
    <row r="10" spans="1:26" ht="21.6" customHeight="1" x14ac:dyDescent="0.25">
      <c r="A10" s="74"/>
      <c r="B10" s="14">
        <v>12</v>
      </c>
      <c r="C10" s="23">
        <v>40896</v>
      </c>
      <c r="D10" s="39">
        <v>8411</v>
      </c>
      <c r="E10" s="30"/>
      <c r="F10" s="30"/>
      <c r="G10" s="30"/>
      <c r="H10" s="30"/>
      <c r="I10" s="30"/>
      <c r="J10" s="30"/>
      <c r="K10" s="30"/>
      <c r="L10" s="30"/>
      <c r="M10" s="30"/>
      <c r="N10" s="33"/>
      <c r="O10" s="37"/>
    </row>
    <row r="11" spans="1:26" ht="21.6" customHeight="1" x14ac:dyDescent="0.25">
      <c r="A11" s="74"/>
      <c r="B11" s="14">
        <v>16</v>
      </c>
      <c r="C11" s="23">
        <v>39364</v>
      </c>
      <c r="D11" s="39">
        <v>7844</v>
      </c>
      <c r="E11" s="30"/>
      <c r="F11" s="30"/>
      <c r="G11" s="30"/>
      <c r="H11" s="30"/>
      <c r="I11" s="30"/>
      <c r="J11" s="30"/>
      <c r="K11" s="30"/>
      <c r="L11" s="30"/>
      <c r="M11" s="30"/>
      <c r="N11" s="33"/>
      <c r="O11" s="37"/>
      <c r="P11" s="26"/>
      <c r="S11" s="59"/>
    </row>
    <row r="12" spans="1:26" ht="21.6" customHeight="1" x14ac:dyDescent="0.25">
      <c r="A12" s="74"/>
      <c r="B12" s="32" t="s">
        <v>86</v>
      </c>
      <c r="C12" s="75" t="s">
        <v>81</v>
      </c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86"/>
      <c r="O12" s="38"/>
      <c r="P12" s="22"/>
    </row>
    <row r="13" spans="1:26" ht="21.6" customHeight="1" x14ac:dyDescent="0.25">
      <c r="A13" s="74" t="s">
        <v>87</v>
      </c>
      <c r="B13" s="83" t="s">
        <v>78</v>
      </c>
      <c r="C13" s="84"/>
      <c r="D13" s="85"/>
      <c r="E13" s="31"/>
      <c r="F13" s="30"/>
      <c r="G13" s="30"/>
      <c r="H13" s="30"/>
      <c r="I13" s="30"/>
      <c r="J13" s="30"/>
      <c r="K13" s="30"/>
      <c r="L13" s="30"/>
      <c r="M13" s="30"/>
      <c r="N13" s="33"/>
      <c r="O13" s="38"/>
      <c r="P13" s="22"/>
    </row>
    <row r="14" spans="1:26" ht="21.6" customHeight="1" x14ac:dyDescent="0.25">
      <c r="A14" s="74"/>
      <c r="B14" s="41" t="s">
        <v>77</v>
      </c>
      <c r="C14" s="24" t="s">
        <v>79</v>
      </c>
      <c r="D14" s="24" t="s">
        <v>80</v>
      </c>
      <c r="E14" s="31"/>
      <c r="F14" s="30"/>
      <c r="G14" s="30"/>
      <c r="H14" s="30"/>
      <c r="I14" s="30"/>
      <c r="J14" s="30"/>
      <c r="K14" s="30"/>
      <c r="L14" s="30"/>
      <c r="M14" s="30"/>
      <c r="N14" s="33"/>
      <c r="O14" s="38"/>
      <c r="P14" s="22"/>
    </row>
    <row r="15" spans="1:26" ht="21.6" customHeight="1" x14ac:dyDescent="0.25">
      <c r="A15" s="74"/>
      <c r="B15" s="14">
        <v>1</v>
      </c>
      <c r="C15" s="39">
        <v>21978</v>
      </c>
      <c r="D15" s="39">
        <v>4557</v>
      </c>
      <c r="E15" s="30"/>
      <c r="F15" s="30"/>
      <c r="G15" s="30"/>
      <c r="H15" s="30"/>
      <c r="I15" s="30"/>
      <c r="J15" s="30"/>
      <c r="K15" s="30"/>
      <c r="L15" s="30"/>
      <c r="M15" s="30"/>
      <c r="N15" s="33"/>
      <c r="O15" s="37"/>
      <c r="P15" s="26"/>
    </row>
    <row r="16" spans="1:26" ht="21.6" customHeight="1" x14ac:dyDescent="0.25">
      <c r="A16" s="74"/>
      <c r="B16" s="14">
        <v>2</v>
      </c>
      <c r="C16" s="39">
        <v>18990</v>
      </c>
      <c r="D16" s="39">
        <v>3948</v>
      </c>
      <c r="E16" s="30"/>
      <c r="F16" s="30"/>
      <c r="G16" s="30"/>
      <c r="H16" s="30"/>
      <c r="I16" s="30"/>
      <c r="J16" s="30"/>
      <c r="K16" s="30"/>
      <c r="L16" s="30"/>
      <c r="M16" s="30"/>
      <c r="N16" s="33"/>
      <c r="O16" s="38"/>
      <c r="P16" s="22"/>
    </row>
    <row r="17" spans="1:16" ht="21.6" customHeight="1" x14ac:dyDescent="0.25">
      <c r="A17" s="74"/>
      <c r="B17" s="14">
        <v>4</v>
      </c>
      <c r="C17" s="39">
        <v>18915</v>
      </c>
      <c r="D17" s="39">
        <v>3448</v>
      </c>
      <c r="E17" s="30"/>
      <c r="F17" s="30"/>
      <c r="G17" s="30"/>
      <c r="H17" s="30"/>
      <c r="I17" s="30"/>
      <c r="J17" s="30"/>
      <c r="K17" s="30"/>
      <c r="L17" s="30"/>
      <c r="M17" s="30"/>
      <c r="N17" s="33"/>
      <c r="O17" s="38"/>
      <c r="P17" s="22"/>
    </row>
    <row r="18" spans="1:16" ht="21.6" customHeight="1" x14ac:dyDescent="0.25">
      <c r="A18" s="74"/>
      <c r="B18" s="14">
        <v>6</v>
      </c>
      <c r="C18" s="39">
        <v>19263</v>
      </c>
      <c r="D18" s="39">
        <v>3554</v>
      </c>
      <c r="E18" s="30"/>
      <c r="F18" s="30"/>
      <c r="G18" s="30"/>
      <c r="H18" s="30"/>
      <c r="I18" s="30"/>
      <c r="J18" s="30"/>
      <c r="K18" s="30"/>
      <c r="L18" s="30"/>
      <c r="M18" s="30"/>
      <c r="N18" s="33"/>
      <c r="O18" s="38"/>
      <c r="P18" s="22"/>
    </row>
    <row r="19" spans="1:16" ht="21.6" customHeight="1" x14ac:dyDescent="0.25">
      <c r="A19" s="74"/>
      <c r="B19" s="14">
        <v>8</v>
      </c>
      <c r="C19" s="23">
        <v>19123</v>
      </c>
      <c r="D19" s="39">
        <v>3538</v>
      </c>
      <c r="E19" s="30"/>
      <c r="F19" s="30"/>
      <c r="G19" s="30"/>
      <c r="H19" s="30"/>
      <c r="I19" s="30"/>
      <c r="J19" s="30"/>
      <c r="K19" s="30"/>
      <c r="L19" s="30"/>
      <c r="M19" s="30"/>
      <c r="N19" s="33"/>
      <c r="O19" s="37"/>
    </row>
    <row r="20" spans="1:16" ht="21.6" customHeight="1" x14ac:dyDescent="0.25">
      <c r="A20" s="74"/>
      <c r="B20" s="14">
        <v>10</v>
      </c>
      <c r="C20" s="23">
        <v>19536</v>
      </c>
      <c r="D20" s="39">
        <v>3696</v>
      </c>
      <c r="E20" s="30"/>
      <c r="F20" s="30"/>
      <c r="G20" s="30"/>
      <c r="H20" s="30"/>
      <c r="I20" s="30"/>
      <c r="J20" s="30"/>
      <c r="K20" s="30"/>
      <c r="L20" s="30"/>
      <c r="M20" s="30"/>
      <c r="N20" s="33"/>
      <c r="O20" s="37"/>
    </row>
    <row r="21" spans="1:16" ht="21.6" customHeight="1" x14ac:dyDescent="0.25">
      <c r="A21" s="74"/>
      <c r="B21" s="14">
        <v>12</v>
      </c>
      <c r="C21" s="23">
        <v>20535</v>
      </c>
      <c r="D21" s="39">
        <v>4272</v>
      </c>
      <c r="E21" s="30"/>
      <c r="F21" s="30"/>
      <c r="G21" s="30"/>
      <c r="H21" s="30"/>
      <c r="I21" s="30"/>
      <c r="J21" s="30"/>
      <c r="K21" s="30"/>
      <c r="L21" s="30"/>
      <c r="M21" s="30"/>
      <c r="N21" s="33"/>
      <c r="O21" s="37"/>
    </row>
    <row r="22" spans="1:16" ht="21.6" customHeight="1" x14ac:dyDescent="0.2">
      <c r="A22" s="74"/>
      <c r="B22" s="87" t="s">
        <v>86</v>
      </c>
      <c r="C22" s="88" t="s">
        <v>88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9"/>
      <c r="O22" s="37"/>
    </row>
    <row r="23" spans="1:16" ht="21.6" customHeight="1" x14ac:dyDescent="0.2">
      <c r="A23" s="74"/>
      <c r="B23" s="87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9"/>
      <c r="O23" s="37"/>
    </row>
    <row r="24" spans="1:16" ht="21.6" customHeight="1" x14ac:dyDescent="0.25">
      <c r="A24" s="72" t="s">
        <v>89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63" t="s">
        <v>90</v>
      </c>
      <c r="N24" s="63"/>
      <c r="O24" s="37"/>
    </row>
    <row r="25" spans="1:16" ht="21.6" customHeight="1" x14ac:dyDescent="0.25">
      <c r="A25" s="77" t="s">
        <v>85</v>
      </c>
      <c r="B25" s="83" t="s">
        <v>78</v>
      </c>
      <c r="C25" s="84"/>
      <c r="D25" s="85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26"/>
    </row>
    <row r="26" spans="1:16" ht="21.6" customHeight="1" x14ac:dyDescent="0.25">
      <c r="A26" s="78"/>
      <c r="B26" s="41" t="s">
        <v>77</v>
      </c>
      <c r="C26" s="24" t="s">
        <v>79</v>
      </c>
      <c r="D26" s="24" t="s">
        <v>80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26"/>
    </row>
    <row r="27" spans="1:16" ht="21.6" customHeight="1" x14ac:dyDescent="0.25">
      <c r="A27" s="78"/>
      <c r="B27" s="14">
        <v>1</v>
      </c>
      <c r="C27" s="23">
        <v>16385</v>
      </c>
      <c r="D27" s="39">
        <v>3616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26"/>
    </row>
    <row r="28" spans="1:16" ht="21.6" customHeight="1" x14ac:dyDescent="0.25">
      <c r="A28" s="78"/>
      <c r="B28" s="14">
        <v>2</v>
      </c>
      <c r="C28" s="23">
        <v>8982</v>
      </c>
      <c r="D28" s="39">
        <v>2066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26"/>
    </row>
    <row r="29" spans="1:16" ht="21.6" customHeight="1" x14ac:dyDescent="0.25">
      <c r="A29" s="78"/>
      <c r="B29" s="14">
        <v>4</v>
      </c>
      <c r="C29" s="23">
        <v>5710</v>
      </c>
      <c r="D29" s="39">
        <v>1430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26"/>
    </row>
    <row r="30" spans="1:16" ht="21.6" customHeight="1" x14ac:dyDescent="0.25">
      <c r="A30" s="78"/>
      <c r="B30" s="14">
        <v>6</v>
      </c>
      <c r="C30" s="23">
        <v>4847</v>
      </c>
      <c r="D30" s="39">
        <v>1212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26"/>
    </row>
    <row r="31" spans="1:16" ht="21.6" customHeight="1" x14ac:dyDescent="0.25">
      <c r="A31" s="78"/>
      <c r="B31" s="14">
        <v>8</v>
      </c>
      <c r="C31" s="23">
        <v>4224</v>
      </c>
      <c r="D31" s="39">
        <v>1190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26"/>
    </row>
    <row r="32" spans="1:16" ht="21.6" customHeight="1" x14ac:dyDescent="0.25">
      <c r="A32" s="78"/>
      <c r="B32" s="14">
        <v>10</v>
      </c>
      <c r="C32" s="23">
        <v>4304</v>
      </c>
      <c r="D32" s="39">
        <v>1280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26"/>
    </row>
    <row r="33" spans="1:16" ht="21.6" customHeight="1" x14ac:dyDescent="0.25">
      <c r="A33" s="78"/>
      <c r="B33" s="14">
        <v>12</v>
      </c>
      <c r="C33" s="23">
        <v>4260</v>
      </c>
      <c r="D33" s="39">
        <v>1360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26"/>
    </row>
    <row r="34" spans="1:16" ht="21.6" customHeight="1" x14ac:dyDescent="0.25">
      <c r="A34" s="78"/>
      <c r="B34" s="14">
        <v>16</v>
      </c>
      <c r="C34" s="23">
        <v>4287</v>
      </c>
      <c r="D34" s="39">
        <v>1368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26"/>
    </row>
    <row r="35" spans="1:16" ht="21.6" customHeight="1" x14ac:dyDescent="0.25">
      <c r="A35" s="78"/>
      <c r="B35" s="83" t="s">
        <v>96</v>
      </c>
      <c r="C35" s="84"/>
      <c r="D35" s="85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26"/>
    </row>
    <row r="36" spans="1:16" ht="21.6" customHeight="1" x14ac:dyDescent="0.25">
      <c r="A36" s="78"/>
      <c r="B36" s="41" t="s">
        <v>77</v>
      </c>
      <c r="C36" s="24" t="s">
        <v>79</v>
      </c>
      <c r="D36" s="24" t="s">
        <v>80</v>
      </c>
      <c r="E36" s="42"/>
      <c r="F36" s="42"/>
      <c r="G36" s="42"/>
      <c r="H36" s="15"/>
      <c r="I36" s="15"/>
      <c r="J36" s="15"/>
      <c r="K36" s="15"/>
      <c r="L36" s="15"/>
      <c r="M36" s="15"/>
      <c r="N36" s="15"/>
      <c r="O36" s="1"/>
      <c r="P36" s="1"/>
    </row>
    <row r="37" spans="1:16" ht="21.6" customHeight="1" x14ac:dyDescent="0.25">
      <c r="A37" s="78"/>
      <c r="B37" s="41">
        <v>1</v>
      </c>
      <c r="C37" s="39">
        <f>C27/C27</f>
        <v>1</v>
      </c>
      <c r="D37" s="39">
        <f>D27/D27</f>
        <v>1</v>
      </c>
      <c r="E37" s="42"/>
      <c r="F37" s="42"/>
      <c r="G37" s="42"/>
      <c r="H37" s="15"/>
      <c r="I37" s="15"/>
      <c r="J37" s="15"/>
      <c r="K37" s="15"/>
      <c r="L37" s="15"/>
      <c r="M37" s="15"/>
      <c r="N37" s="15"/>
      <c r="O37" s="1"/>
      <c r="P37" s="1"/>
    </row>
    <row r="38" spans="1:16" ht="21.6" customHeight="1" x14ac:dyDescent="0.25">
      <c r="A38" s="78"/>
      <c r="B38" s="41">
        <v>2</v>
      </c>
      <c r="C38" s="39">
        <f>C27/C28</f>
        <v>1.8242039634825207</v>
      </c>
      <c r="D38" s="39">
        <f>D27/D28</f>
        <v>1.750242013552759</v>
      </c>
      <c r="E38" s="42"/>
      <c r="F38" s="42"/>
      <c r="G38" s="42"/>
      <c r="H38" s="15"/>
      <c r="I38" s="15"/>
      <c r="J38" s="15"/>
      <c r="K38" s="15"/>
      <c r="L38" s="15"/>
      <c r="M38" s="15"/>
      <c r="N38" s="15"/>
      <c r="O38" s="1"/>
      <c r="P38" s="1"/>
    </row>
    <row r="39" spans="1:16" ht="21.6" customHeight="1" x14ac:dyDescent="0.25">
      <c r="A39" s="78"/>
      <c r="B39" s="41">
        <v>4</v>
      </c>
      <c r="C39" s="39">
        <f>C27/C29</f>
        <v>2.8695271453590192</v>
      </c>
      <c r="D39" s="39">
        <f>D27/D29</f>
        <v>2.5286713286713285</v>
      </c>
      <c r="E39" s="42"/>
      <c r="F39" s="42"/>
      <c r="G39" s="42"/>
      <c r="H39" s="15"/>
      <c r="I39" s="15"/>
      <c r="J39" s="15"/>
      <c r="K39" s="15"/>
      <c r="L39" s="15"/>
      <c r="M39" s="15"/>
      <c r="N39" s="15"/>
      <c r="O39" s="1"/>
      <c r="P39" s="1"/>
    </row>
    <row r="40" spans="1:16" ht="21.6" customHeight="1" x14ac:dyDescent="0.25">
      <c r="A40" s="78"/>
      <c r="B40" s="41">
        <v>6</v>
      </c>
      <c r="C40" s="39">
        <f>C27/C30</f>
        <v>3.3804415102125027</v>
      </c>
      <c r="D40" s="39">
        <f>D27/D30</f>
        <v>2.9834983498349836</v>
      </c>
      <c r="E40" s="42"/>
      <c r="F40" s="42"/>
      <c r="G40" s="42"/>
      <c r="H40" s="15"/>
      <c r="I40" s="15"/>
      <c r="J40" s="15"/>
      <c r="K40" s="15"/>
      <c r="L40" s="15"/>
      <c r="M40" s="15"/>
      <c r="N40" s="15"/>
      <c r="O40" s="1"/>
      <c r="P40" s="1"/>
    </row>
    <row r="41" spans="1:16" ht="21.6" customHeight="1" x14ac:dyDescent="0.25">
      <c r="A41" s="78"/>
      <c r="B41" s="41">
        <v>8</v>
      </c>
      <c r="C41" s="39">
        <f>C27/C31</f>
        <v>3.8790246212121211</v>
      </c>
      <c r="D41" s="39">
        <f>D27/D31</f>
        <v>3.0386554621848738</v>
      </c>
      <c r="E41" s="42"/>
      <c r="F41" s="42"/>
      <c r="G41" s="42"/>
      <c r="H41" s="15"/>
      <c r="I41" s="15"/>
      <c r="J41" s="15"/>
      <c r="K41" s="15"/>
      <c r="L41" s="15"/>
      <c r="M41" s="15"/>
      <c r="N41" s="15"/>
      <c r="O41" s="1"/>
      <c r="P41" s="1"/>
    </row>
    <row r="42" spans="1:16" ht="21.6" customHeight="1" x14ac:dyDescent="0.25">
      <c r="A42" s="78"/>
      <c r="B42" s="41">
        <v>10</v>
      </c>
      <c r="C42" s="39">
        <f>C27/C32</f>
        <v>3.8069237918215615</v>
      </c>
      <c r="D42" s="39">
        <f>D27/D32</f>
        <v>2.8250000000000002</v>
      </c>
      <c r="E42" s="42"/>
      <c r="F42" s="42"/>
      <c r="G42" s="42"/>
      <c r="H42" s="15"/>
      <c r="I42" s="15"/>
      <c r="J42" s="15"/>
      <c r="K42" s="15"/>
      <c r="L42" s="15"/>
      <c r="M42" s="15"/>
      <c r="N42" s="15"/>
      <c r="O42" s="1"/>
      <c r="P42" s="1"/>
    </row>
    <row r="43" spans="1:16" ht="21.6" customHeight="1" x14ac:dyDescent="0.25">
      <c r="A43" s="78"/>
      <c r="B43" s="41">
        <v>12</v>
      </c>
      <c r="C43" s="39">
        <f>C27/C33</f>
        <v>3.846244131455399</v>
      </c>
      <c r="D43" s="39">
        <f>D27/D33</f>
        <v>2.6588235294117646</v>
      </c>
      <c r="E43" s="42"/>
      <c r="F43" s="42"/>
      <c r="G43" s="42"/>
      <c r="H43" s="15"/>
      <c r="I43" s="15"/>
      <c r="J43" s="15"/>
      <c r="K43" s="15"/>
      <c r="L43" s="15"/>
      <c r="M43" s="15"/>
      <c r="N43" s="15"/>
      <c r="O43" s="1"/>
      <c r="P43" s="1"/>
    </row>
    <row r="44" spans="1:16" ht="21.6" customHeight="1" x14ac:dyDescent="0.25">
      <c r="A44" s="78"/>
      <c r="B44" s="41">
        <v>16</v>
      </c>
      <c r="C44" s="39">
        <f>C27/C34</f>
        <v>3.8220200606484722</v>
      </c>
      <c r="D44" s="39">
        <f>D27/D34</f>
        <v>2.6432748538011697</v>
      </c>
      <c r="E44" s="42"/>
      <c r="F44" s="42"/>
      <c r="G44" s="42"/>
      <c r="H44" s="15"/>
      <c r="I44" s="15"/>
      <c r="J44" s="15"/>
      <c r="K44" s="15"/>
      <c r="L44" s="15"/>
      <c r="M44" s="15"/>
      <c r="N44" s="15"/>
      <c r="O44" s="1"/>
      <c r="P44" s="1"/>
    </row>
    <row r="45" spans="1:16" ht="21.6" customHeight="1" x14ac:dyDescent="0.25">
      <c r="A45" s="78"/>
      <c r="B45" s="83" t="s">
        <v>97</v>
      </c>
      <c r="C45" s="84"/>
      <c r="D45" s="85"/>
      <c r="E45" s="42"/>
      <c r="F45" s="42"/>
      <c r="G45" s="42"/>
      <c r="H45" s="15"/>
      <c r="I45" s="15"/>
      <c r="J45" s="15"/>
      <c r="K45" s="15"/>
      <c r="L45" s="15"/>
      <c r="M45" s="15"/>
      <c r="N45" s="15"/>
      <c r="O45" s="1"/>
      <c r="P45" s="1"/>
    </row>
    <row r="46" spans="1:16" ht="21.6" customHeight="1" x14ac:dyDescent="0.25">
      <c r="A46" s="78"/>
      <c r="B46" s="41" t="s">
        <v>77</v>
      </c>
      <c r="C46" s="24" t="s">
        <v>79</v>
      </c>
      <c r="D46" s="24" t="s">
        <v>80</v>
      </c>
      <c r="E46" s="42"/>
      <c r="F46" s="42"/>
      <c r="G46" s="42"/>
      <c r="H46" s="15"/>
      <c r="I46" s="15"/>
      <c r="J46" s="15"/>
      <c r="K46" s="15"/>
      <c r="L46" s="15"/>
      <c r="M46" s="15"/>
      <c r="N46" s="15"/>
      <c r="O46" s="1"/>
      <c r="P46" s="1"/>
    </row>
    <row r="47" spans="1:16" ht="21.6" customHeight="1" x14ac:dyDescent="0.25">
      <c r="A47" s="78"/>
      <c r="B47" s="41">
        <v>1</v>
      </c>
      <c r="C47" s="39">
        <f t="shared" ref="C47:C54" si="0">C37/B37</f>
        <v>1</v>
      </c>
      <c r="D47" s="39">
        <f t="shared" ref="D47:D54" si="1">D37/B37</f>
        <v>1</v>
      </c>
      <c r="E47" s="42"/>
      <c r="F47" s="42"/>
      <c r="G47" s="42"/>
      <c r="H47" s="15"/>
      <c r="I47" s="15"/>
      <c r="J47" s="15"/>
      <c r="K47" s="15"/>
      <c r="L47" s="15"/>
      <c r="M47" s="15"/>
      <c r="N47" s="15"/>
      <c r="O47" s="1"/>
      <c r="P47" s="1"/>
    </row>
    <row r="48" spans="1:16" ht="21.6" customHeight="1" x14ac:dyDescent="0.25">
      <c r="A48" s="78"/>
      <c r="B48" s="41">
        <v>2</v>
      </c>
      <c r="C48" s="39">
        <f t="shared" si="0"/>
        <v>0.91210198174126034</v>
      </c>
      <c r="D48" s="39">
        <f t="shared" si="1"/>
        <v>0.8751210067763795</v>
      </c>
      <c r="E48" s="42"/>
      <c r="F48" s="42"/>
      <c r="G48" s="42"/>
      <c r="H48" s="15"/>
      <c r="I48" s="15"/>
      <c r="J48" s="15"/>
      <c r="K48" s="15"/>
      <c r="L48" s="15"/>
      <c r="M48" s="15"/>
      <c r="N48" s="15"/>
      <c r="O48" s="1"/>
      <c r="P48" s="1"/>
    </row>
    <row r="49" spans="1:16" ht="21.6" customHeight="1" x14ac:dyDescent="0.25">
      <c r="A49" s="78"/>
      <c r="B49" s="41">
        <v>4</v>
      </c>
      <c r="C49" s="39">
        <f t="shared" si="0"/>
        <v>0.7173817863397548</v>
      </c>
      <c r="D49" s="39">
        <f t="shared" si="1"/>
        <v>0.63216783216783212</v>
      </c>
      <c r="E49" s="42"/>
      <c r="F49" s="42"/>
      <c r="G49" s="42"/>
      <c r="H49" s="15"/>
      <c r="I49" s="15"/>
      <c r="J49" s="15"/>
      <c r="K49" s="15"/>
      <c r="L49" s="15"/>
      <c r="M49" s="15"/>
      <c r="N49" s="15"/>
      <c r="O49" s="1"/>
      <c r="P49" s="1"/>
    </row>
    <row r="50" spans="1:16" ht="21.6" customHeight="1" x14ac:dyDescent="0.25">
      <c r="A50" s="78"/>
      <c r="B50" s="41">
        <v>6</v>
      </c>
      <c r="C50" s="39">
        <f t="shared" si="0"/>
        <v>0.56340691836875045</v>
      </c>
      <c r="D50" s="39">
        <f t="shared" si="1"/>
        <v>0.49724972497249725</v>
      </c>
      <c r="E50" s="42"/>
      <c r="F50" s="42"/>
      <c r="G50" s="42"/>
      <c r="H50" s="15"/>
      <c r="I50" s="15"/>
      <c r="J50" s="15"/>
      <c r="K50" s="15"/>
      <c r="L50" s="15"/>
      <c r="M50" s="15"/>
      <c r="N50" s="15"/>
      <c r="O50" s="1"/>
      <c r="P50" s="1"/>
    </row>
    <row r="51" spans="1:16" ht="21.6" customHeight="1" x14ac:dyDescent="0.25">
      <c r="A51" s="78"/>
      <c r="B51" s="41">
        <v>8</v>
      </c>
      <c r="C51" s="39">
        <f t="shared" si="0"/>
        <v>0.48487807765151514</v>
      </c>
      <c r="D51" s="39">
        <f t="shared" si="1"/>
        <v>0.37983193277310923</v>
      </c>
      <c r="E51" s="42"/>
      <c r="F51" s="42"/>
      <c r="G51" s="42"/>
      <c r="H51" s="15"/>
      <c r="I51" s="15"/>
      <c r="J51" s="15"/>
      <c r="K51" s="15"/>
      <c r="L51" s="15"/>
      <c r="M51" s="15"/>
      <c r="N51" s="15"/>
      <c r="O51" s="1"/>
    </row>
    <row r="52" spans="1:16" ht="21.6" customHeight="1" x14ac:dyDescent="0.25">
      <c r="A52" s="78"/>
      <c r="B52" s="41">
        <v>10</v>
      </c>
      <c r="C52" s="39">
        <f t="shared" si="0"/>
        <v>0.38069237918215615</v>
      </c>
      <c r="D52" s="39">
        <f t="shared" si="1"/>
        <v>0.28250000000000003</v>
      </c>
      <c r="E52" s="42"/>
      <c r="F52" s="42"/>
      <c r="G52" s="42"/>
      <c r="H52" s="15"/>
      <c r="I52" s="15"/>
      <c r="J52" s="15"/>
      <c r="K52" s="15"/>
      <c r="L52" s="15"/>
      <c r="M52" s="15"/>
      <c r="N52" s="15"/>
      <c r="O52" s="1"/>
    </row>
    <row r="53" spans="1:16" ht="21.6" customHeight="1" x14ac:dyDescent="0.25">
      <c r="A53" s="78"/>
      <c r="B53" s="41">
        <v>12</v>
      </c>
      <c r="C53" s="39">
        <f t="shared" si="0"/>
        <v>0.3205203442879499</v>
      </c>
      <c r="D53" s="39">
        <f t="shared" si="1"/>
        <v>0.22156862745098038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1"/>
    </row>
    <row r="54" spans="1:16" ht="21.6" customHeight="1" x14ac:dyDescent="0.25">
      <c r="A54" s="78"/>
      <c r="B54" s="41">
        <v>16</v>
      </c>
      <c r="C54" s="39">
        <f t="shared" si="0"/>
        <v>0.23887625379052951</v>
      </c>
      <c r="D54" s="39">
        <f t="shared" si="1"/>
        <v>0.1652046783625731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1"/>
    </row>
    <row r="55" spans="1:16" ht="21.6" customHeight="1" x14ac:dyDescent="0.25">
      <c r="A55" s="78"/>
      <c r="B55" s="45" t="s">
        <v>86</v>
      </c>
      <c r="C55" s="76" t="s">
        <v>102</v>
      </c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</row>
    <row r="56" spans="1:16" ht="21.6" customHeight="1" x14ac:dyDescent="0.25">
      <c r="A56" s="79" t="s">
        <v>103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1"/>
      <c r="M56" s="63" t="s">
        <v>90</v>
      </c>
      <c r="N56" s="63"/>
      <c r="O56" s="29"/>
    </row>
    <row r="57" spans="1:16" ht="21.6" customHeight="1" x14ac:dyDescent="0.25">
      <c r="A57" s="74" t="s">
        <v>85</v>
      </c>
      <c r="B57" s="82" t="s">
        <v>78</v>
      </c>
      <c r="C57" s="82"/>
      <c r="D57" s="82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29"/>
    </row>
    <row r="58" spans="1:16" ht="21.6" customHeight="1" x14ac:dyDescent="0.25">
      <c r="A58" s="74"/>
      <c r="B58" s="41" t="s">
        <v>77</v>
      </c>
      <c r="C58" s="24" t="s">
        <v>79</v>
      </c>
      <c r="D58" s="24" t="s">
        <v>80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29"/>
    </row>
    <row r="59" spans="1:16" ht="21.6" customHeight="1" x14ac:dyDescent="0.25">
      <c r="A59" s="74"/>
      <c r="B59" s="14">
        <v>1</v>
      </c>
      <c r="C59" s="23">
        <v>5044</v>
      </c>
      <c r="D59" s="39">
        <v>1126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29"/>
    </row>
    <row r="60" spans="1:16" ht="21.6" customHeight="1" x14ac:dyDescent="0.25">
      <c r="A60" s="74"/>
      <c r="B60" s="14">
        <v>2</v>
      </c>
      <c r="C60" s="23">
        <v>3946</v>
      </c>
      <c r="D60" s="39">
        <v>853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29"/>
    </row>
    <row r="61" spans="1:16" ht="21.6" customHeight="1" x14ac:dyDescent="0.25">
      <c r="A61" s="74"/>
      <c r="B61" s="14">
        <v>4</v>
      </c>
      <c r="C61" s="23">
        <v>2667</v>
      </c>
      <c r="D61" s="39">
        <v>702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29"/>
    </row>
    <row r="62" spans="1:16" ht="21.6" customHeight="1" x14ac:dyDescent="0.25">
      <c r="A62" s="74"/>
      <c r="B62" s="14">
        <v>6</v>
      </c>
      <c r="C62" s="23">
        <v>2931</v>
      </c>
      <c r="D62" s="39">
        <v>832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29"/>
    </row>
    <row r="63" spans="1:16" ht="21.6" customHeight="1" x14ac:dyDescent="0.25">
      <c r="A63" s="74"/>
      <c r="B63" s="14">
        <v>8</v>
      </c>
      <c r="C63" s="23">
        <v>2774</v>
      </c>
      <c r="D63" s="39">
        <v>816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29"/>
    </row>
    <row r="64" spans="1:16" ht="21.6" customHeight="1" x14ac:dyDescent="0.25">
      <c r="A64" s="74"/>
      <c r="B64" s="14">
        <v>10</v>
      </c>
      <c r="C64" s="23">
        <v>2866</v>
      </c>
      <c r="D64" s="39">
        <v>844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29"/>
    </row>
    <row r="65" spans="1:15" ht="21.6" customHeight="1" x14ac:dyDescent="0.25">
      <c r="A65" s="74"/>
      <c r="B65" s="14">
        <v>12</v>
      </c>
      <c r="C65" s="23">
        <v>2773</v>
      </c>
      <c r="D65" s="39">
        <v>882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29"/>
    </row>
    <row r="66" spans="1:15" ht="21.6" customHeight="1" x14ac:dyDescent="0.25">
      <c r="A66" s="74"/>
      <c r="B66" s="14">
        <v>16</v>
      </c>
      <c r="C66" s="23">
        <v>2706</v>
      </c>
      <c r="D66" s="39">
        <v>911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29"/>
    </row>
    <row r="67" spans="1:15" ht="21.6" customHeight="1" x14ac:dyDescent="0.25">
      <c r="A67" s="74"/>
      <c r="B67" s="82" t="s">
        <v>96</v>
      </c>
      <c r="C67" s="82"/>
      <c r="D67" s="82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29"/>
    </row>
    <row r="68" spans="1:15" ht="21.6" customHeight="1" x14ac:dyDescent="0.25">
      <c r="A68" s="74"/>
      <c r="B68" s="41" t="s">
        <v>77</v>
      </c>
      <c r="C68" s="24" t="s">
        <v>79</v>
      </c>
      <c r="D68" s="24" t="s">
        <v>80</v>
      </c>
      <c r="E68" s="42"/>
      <c r="F68" s="42"/>
      <c r="G68" s="42"/>
      <c r="H68" s="15"/>
      <c r="I68" s="15"/>
      <c r="J68" s="15"/>
      <c r="K68" s="15"/>
      <c r="L68" s="15"/>
      <c r="M68" s="15"/>
      <c r="N68" s="15"/>
      <c r="O68" s="29"/>
    </row>
    <row r="69" spans="1:15" ht="21.6" customHeight="1" x14ac:dyDescent="0.25">
      <c r="A69" s="74"/>
      <c r="B69" s="41">
        <v>1</v>
      </c>
      <c r="C69" s="39">
        <f>C59/C59</f>
        <v>1</v>
      </c>
      <c r="D69" s="39">
        <f>D59/D59</f>
        <v>1</v>
      </c>
      <c r="E69" s="42"/>
      <c r="F69" s="42"/>
      <c r="G69" s="42"/>
      <c r="H69" s="15"/>
      <c r="I69" s="15"/>
      <c r="J69" s="15"/>
      <c r="K69" s="15"/>
      <c r="L69" s="15"/>
      <c r="M69" s="15"/>
      <c r="N69" s="15"/>
      <c r="O69" s="29"/>
    </row>
    <row r="70" spans="1:15" ht="21.6" customHeight="1" x14ac:dyDescent="0.25">
      <c r="A70" s="74"/>
      <c r="B70" s="41">
        <v>2</v>
      </c>
      <c r="C70" s="39">
        <f>C59/C60</f>
        <v>1.2782564622402433</v>
      </c>
      <c r="D70" s="39">
        <f>D59/D60</f>
        <v>1.3200468933177023</v>
      </c>
      <c r="E70" s="42"/>
      <c r="F70" s="42"/>
      <c r="G70" s="42"/>
      <c r="H70" s="15"/>
      <c r="I70" s="15"/>
      <c r="J70" s="15"/>
      <c r="K70" s="15"/>
      <c r="L70" s="15"/>
      <c r="M70" s="15"/>
      <c r="N70" s="15"/>
      <c r="O70" s="29"/>
    </row>
    <row r="71" spans="1:15" ht="21.6" customHeight="1" x14ac:dyDescent="0.25">
      <c r="A71" s="74"/>
      <c r="B71" s="41">
        <v>4</v>
      </c>
      <c r="C71" s="39">
        <f>C59/C61</f>
        <v>1.8912635920509937</v>
      </c>
      <c r="D71" s="39">
        <f>D59/D61</f>
        <v>1.603988603988604</v>
      </c>
      <c r="E71" s="42"/>
      <c r="F71" s="42"/>
      <c r="G71" s="42"/>
      <c r="H71" s="15"/>
      <c r="I71" s="15"/>
      <c r="J71" s="15"/>
      <c r="K71" s="15"/>
      <c r="L71" s="15"/>
      <c r="M71" s="15"/>
      <c r="N71" s="15"/>
      <c r="O71" s="29"/>
    </row>
    <row r="72" spans="1:15" ht="21.6" customHeight="1" x14ac:dyDescent="0.25">
      <c r="A72" s="74"/>
      <c r="B72" s="41">
        <v>6</v>
      </c>
      <c r="C72" s="39">
        <f>C59/C62</f>
        <v>1.7209143636983963</v>
      </c>
      <c r="D72" s="39">
        <f>D59/D62</f>
        <v>1.3533653846153846</v>
      </c>
      <c r="E72" s="42"/>
      <c r="F72" s="42"/>
      <c r="G72" s="42"/>
      <c r="H72" s="15"/>
      <c r="I72" s="15"/>
      <c r="J72" s="15"/>
      <c r="K72" s="15"/>
      <c r="L72" s="15"/>
      <c r="M72" s="15"/>
      <c r="N72" s="15"/>
      <c r="O72" s="29"/>
    </row>
    <row r="73" spans="1:15" ht="21.6" customHeight="1" x14ac:dyDescent="0.25">
      <c r="A73" s="74"/>
      <c r="B73" s="41">
        <v>8</v>
      </c>
      <c r="C73" s="39">
        <f>C59/C63</f>
        <v>1.8183129055515501</v>
      </c>
      <c r="D73" s="39">
        <f>D59/D63</f>
        <v>1.3799019607843137</v>
      </c>
      <c r="E73" s="42"/>
      <c r="F73" s="42"/>
      <c r="G73" s="42"/>
      <c r="H73" s="15"/>
      <c r="I73" s="15"/>
      <c r="J73" s="15"/>
      <c r="K73" s="15"/>
      <c r="L73" s="15"/>
      <c r="M73" s="15"/>
      <c r="N73" s="15"/>
      <c r="O73" s="29"/>
    </row>
    <row r="74" spans="1:15" ht="21.6" customHeight="1" x14ac:dyDescent="0.25">
      <c r="A74" s="74"/>
      <c r="B74" s="41">
        <v>10</v>
      </c>
      <c r="C74" s="39">
        <f>C59/C64</f>
        <v>1.759944173063503</v>
      </c>
      <c r="D74" s="39">
        <f>D59/D64</f>
        <v>1.3341232227488151</v>
      </c>
      <c r="E74" s="42"/>
      <c r="F74" s="42"/>
      <c r="G74" s="42"/>
      <c r="H74" s="15"/>
      <c r="I74" s="15"/>
      <c r="J74" s="15"/>
      <c r="K74" s="15"/>
      <c r="L74" s="15"/>
      <c r="M74" s="15"/>
      <c r="N74" s="15"/>
      <c r="O74" s="29"/>
    </row>
    <row r="75" spans="1:15" ht="21.6" customHeight="1" x14ac:dyDescent="0.25">
      <c r="A75" s="74"/>
      <c r="B75" s="41">
        <v>12</v>
      </c>
      <c r="C75" s="39">
        <f>C59/C65</f>
        <v>1.8189686260367832</v>
      </c>
      <c r="D75" s="39">
        <f>D59/D65</f>
        <v>1.2766439909297052</v>
      </c>
      <c r="E75" s="42"/>
      <c r="F75" s="42"/>
      <c r="G75" s="42"/>
      <c r="H75" s="15"/>
      <c r="I75" s="15"/>
      <c r="J75" s="15"/>
      <c r="K75" s="15"/>
      <c r="L75" s="15"/>
      <c r="M75" s="15"/>
      <c r="N75" s="15"/>
      <c r="O75" s="29"/>
    </row>
    <row r="76" spans="1:15" ht="21.6" customHeight="1" x14ac:dyDescent="0.25">
      <c r="A76" s="74"/>
      <c r="B76" s="41">
        <v>16</v>
      </c>
      <c r="C76" s="39">
        <f>C59/C66</f>
        <v>1.8640059127864006</v>
      </c>
      <c r="D76" s="39">
        <f>D59/D66</f>
        <v>1.2360043907793634</v>
      </c>
      <c r="E76" s="42"/>
      <c r="F76" s="42"/>
      <c r="G76" s="42"/>
      <c r="H76" s="15"/>
      <c r="I76" s="15"/>
      <c r="J76" s="15"/>
      <c r="K76" s="15"/>
      <c r="L76" s="15"/>
      <c r="M76" s="15"/>
      <c r="N76" s="15"/>
      <c r="O76" s="29"/>
    </row>
    <row r="77" spans="1:15" ht="21.6" customHeight="1" x14ac:dyDescent="0.25">
      <c r="A77" s="74"/>
      <c r="B77" s="82" t="s">
        <v>97</v>
      </c>
      <c r="C77" s="82"/>
      <c r="D77" s="82"/>
      <c r="E77" s="42"/>
      <c r="F77" s="42"/>
      <c r="G77" s="42"/>
      <c r="H77" s="15"/>
      <c r="I77" s="15"/>
      <c r="J77" s="15"/>
      <c r="K77" s="15"/>
      <c r="L77" s="15"/>
      <c r="M77" s="15"/>
      <c r="N77" s="15"/>
      <c r="O77" s="29"/>
    </row>
    <row r="78" spans="1:15" ht="21.6" customHeight="1" x14ac:dyDescent="0.25">
      <c r="A78" s="74"/>
      <c r="B78" s="41" t="s">
        <v>77</v>
      </c>
      <c r="C78" s="24" t="s">
        <v>79</v>
      </c>
      <c r="D78" s="24" t="s">
        <v>80</v>
      </c>
      <c r="E78" s="42"/>
      <c r="F78" s="42"/>
      <c r="G78" s="42"/>
      <c r="H78" s="15"/>
      <c r="I78" s="15"/>
      <c r="J78" s="15"/>
      <c r="K78" s="15"/>
      <c r="L78" s="15"/>
      <c r="M78" s="15"/>
      <c r="N78" s="15"/>
      <c r="O78" s="29"/>
    </row>
    <row r="79" spans="1:15" ht="21.6" customHeight="1" x14ac:dyDescent="0.25">
      <c r="A79" s="74"/>
      <c r="B79" s="41">
        <v>1</v>
      </c>
      <c r="C79" s="39">
        <f t="shared" ref="C79:C86" si="2">C69/B69</f>
        <v>1</v>
      </c>
      <c r="D79" s="39">
        <f t="shared" ref="D79:D86" si="3">D69/B69</f>
        <v>1</v>
      </c>
      <c r="E79" s="42"/>
      <c r="F79" s="42"/>
      <c r="G79" s="42"/>
      <c r="H79" s="15"/>
      <c r="I79" s="15"/>
      <c r="J79" s="15"/>
      <c r="K79" s="15"/>
      <c r="L79" s="15"/>
      <c r="M79" s="15"/>
      <c r="N79" s="15"/>
      <c r="O79" s="29"/>
    </row>
    <row r="80" spans="1:15" ht="21.6" customHeight="1" x14ac:dyDescent="0.25">
      <c r="A80" s="74"/>
      <c r="B80" s="41">
        <v>2</v>
      </c>
      <c r="C80" s="39">
        <f t="shared" si="2"/>
        <v>0.63912823112012163</v>
      </c>
      <c r="D80" s="39">
        <f t="shared" si="3"/>
        <v>0.66002344665885115</v>
      </c>
      <c r="E80" s="42"/>
      <c r="F80" s="42"/>
      <c r="G80" s="42"/>
      <c r="H80" s="15"/>
      <c r="I80" s="15"/>
      <c r="J80" s="15"/>
      <c r="K80" s="15"/>
      <c r="L80" s="15"/>
      <c r="M80" s="15"/>
      <c r="N80" s="15"/>
      <c r="O80" s="29"/>
    </row>
    <row r="81" spans="1:29" ht="21.6" customHeight="1" x14ac:dyDescent="0.25">
      <c r="A81" s="74"/>
      <c r="B81" s="41">
        <v>4</v>
      </c>
      <c r="C81" s="39">
        <f t="shared" si="2"/>
        <v>0.47281589801274843</v>
      </c>
      <c r="D81" s="39">
        <f t="shared" si="3"/>
        <v>0.400997150997151</v>
      </c>
      <c r="E81" s="42"/>
      <c r="F81" s="42"/>
      <c r="G81" s="42"/>
      <c r="H81" s="15"/>
      <c r="I81" s="15"/>
      <c r="J81" s="15"/>
      <c r="K81" s="15"/>
      <c r="L81" s="15"/>
      <c r="M81" s="15"/>
      <c r="N81" s="15"/>
      <c r="O81" s="29"/>
    </row>
    <row r="82" spans="1:29" ht="21.6" customHeight="1" x14ac:dyDescent="0.25">
      <c r="A82" s="74"/>
      <c r="B82" s="41">
        <v>6</v>
      </c>
      <c r="C82" s="39">
        <f t="shared" si="2"/>
        <v>0.28681906061639939</v>
      </c>
      <c r="D82" s="39">
        <f t="shared" si="3"/>
        <v>0.22556089743589744</v>
      </c>
      <c r="E82" s="42"/>
      <c r="F82" s="42"/>
      <c r="G82" s="42"/>
      <c r="H82" s="15"/>
      <c r="I82" s="15"/>
      <c r="J82" s="15"/>
      <c r="K82" s="15"/>
      <c r="L82" s="15"/>
      <c r="M82" s="15"/>
      <c r="N82" s="15"/>
      <c r="O82" s="29"/>
    </row>
    <row r="83" spans="1:29" ht="21.6" customHeight="1" x14ac:dyDescent="0.25">
      <c r="A83" s="74"/>
      <c r="B83" s="41">
        <v>8</v>
      </c>
      <c r="C83" s="39">
        <f t="shared" si="2"/>
        <v>0.22728911319394376</v>
      </c>
      <c r="D83" s="39">
        <f t="shared" si="3"/>
        <v>0.17248774509803921</v>
      </c>
      <c r="E83" s="42"/>
      <c r="F83" s="42"/>
      <c r="G83" s="42"/>
      <c r="H83" s="15"/>
      <c r="I83" s="15"/>
      <c r="J83" s="15"/>
      <c r="K83" s="15"/>
      <c r="L83" s="15"/>
      <c r="M83" s="15"/>
      <c r="N83" s="15"/>
      <c r="O83" s="29"/>
    </row>
    <row r="84" spans="1:29" ht="21.6" customHeight="1" x14ac:dyDescent="0.25">
      <c r="A84" s="74"/>
      <c r="B84" s="41">
        <v>10</v>
      </c>
      <c r="C84" s="39">
        <f t="shared" si="2"/>
        <v>0.17599441730635029</v>
      </c>
      <c r="D84" s="39">
        <f t="shared" si="3"/>
        <v>0.13341232227488151</v>
      </c>
      <c r="E84" s="42"/>
      <c r="F84" s="42"/>
      <c r="G84" s="42"/>
      <c r="H84" s="15"/>
      <c r="I84" s="15"/>
      <c r="J84" s="15"/>
      <c r="K84" s="15"/>
      <c r="L84" s="15"/>
      <c r="M84" s="15"/>
      <c r="N84" s="15"/>
      <c r="O84" s="29"/>
    </row>
    <row r="85" spans="1:29" ht="21.6" customHeight="1" x14ac:dyDescent="0.25">
      <c r="A85" s="74"/>
      <c r="B85" s="41">
        <v>12</v>
      </c>
      <c r="C85" s="39">
        <f t="shared" si="2"/>
        <v>0.15158071883639859</v>
      </c>
      <c r="D85" s="39">
        <f t="shared" si="3"/>
        <v>0.10638699924414209</v>
      </c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29"/>
    </row>
    <row r="86" spans="1:29" ht="21.6" customHeight="1" x14ac:dyDescent="0.25">
      <c r="A86" s="74"/>
      <c r="B86" s="41">
        <v>16</v>
      </c>
      <c r="C86" s="39">
        <f t="shared" si="2"/>
        <v>0.11650036954915004</v>
      </c>
      <c r="D86" s="39">
        <f t="shared" si="3"/>
        <v>7.7250274423710213E-2</v>
      </c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29"/>
    </row>
    <row r="87" spans="1:29" ht="21.6" customHeight="1" x14ac:dyDescent="0.25">
      <c r="A87" s="74"/>
      <c r="B87" s="32" t="s">
        <v>86</v>
      </c>
      <c r="C87" s="75" t="s">
        <v>106</v>
      </c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</row>
    <row r="88" spans="1:29" ht="21.6" customHeight="1" x14ac:dyDescent="0.2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50"/>
      <c r="P88" s="50"/>
      <c r="Q88" s="50"/>
      <c r="R88" s="50"/>
      <c r="S88" s="50"/>
      <c r="T88" s="50"/>
      <c r="U88" s="51"/>
      <c r="V88" s="51"/>
      <c r="W88" s="51"/>
      <c r="X88" s="51"/>
      <c r="Y88" s="51"/>
      <c r="Z88" s="51"/>
      <c r="AA88" s="51"/>
      <c r="AB88" s="51"/>
      <c r="AC88" s="51"/>
    </row>
    <row r="89" spans="1:29" ht="21.6" customHeight="1" x14ac:dyDescent="0.2">
      <c r="A89" s="52"/>
      <c r="B89" s="53"/>
      <c r="C89" s="53"/>
      <c r="D89" s="53"/>
      <c r="E89" s="53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</row>
    <row r="90" spans="1:29" ht="21.6" customHeight="1" x14ac:dyDescent="0.2">
      <c r="A90" s="52"/>
      <c r="B90" s="53"/>
      <c r="C90" s="54"/>
      <c r="D90" s="54"/>
      <c r="E90" s="54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</row>
    <row r="91" spans="1:29" ht="21.6" customHeight="1" x14ac:dyDescent="0.2">
      <c r="A91" s="52"/>
      <c r="B91" s="54"/>
      <c r="C91" s="55"/>
      <c r="D91" s="56"/>
      <c r="E91" s="56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spans="1:29" ht="21.6" customHeight="1" x14ac:dyDescent="0.2">
      <c r="A92" s="52"/>
      <c r="B92" s="54"/>
      <c r="C92" s="55"/>
      <c r="D92" s="56"/>
      <c r="E92" s="56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</row>
    <row r="93" spans="1:29" ht="21.6" customHeight="1" x14ac:dyDescent="0.2">
      <c r="A93" s="52"/>
      <c r="B93" s="54"/>
      <c r="C93" s="55"/>
      <c r="D93" s="56"/>
      <c r="E93" s="56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</row>
    <row r="94" spans="1:29" ht="21.6" customHeight="1" x14ac:dyDescent="0.2">
      <c r="A94" s="52"/>
      <c r="B94" s="54"/>
      <c r="C94" s="55"/>
      <c r="D94" s="56"/>
      <c r="E94" s="56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</row>
    <row r="95" spans="1:29" ht="21.6" customHeight="1" x14ac:dyDescent="0.2">
      <c r="A95" s="52"/>
      <c r="B95" s="54"/>
      <c r="C95" s="55"/>
      <c r="D95" s="56"/>
      <c r="E95" s="56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</row>
    <row r="96" spans="1:29" ht="21.6" customHeight="1" x14ac:dyDescent="0.2">
      <c r="A96" s="52"/>
      <c r="B96" s="54"/>
      <c r="C96" s="55"/>
      <c r="D96" s="56"/>
      <c r="E96" s="56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</row>
    <row r="97" spans="1:29" ht="21.6" customHeight="1" x14ac:dyDescent="0.2">
      <c r="A97" s="52"/>
      <c r="B97" s="54"/>
      <c r="C97" s="55"/>
      <c r="D97" s="56"/>
      <c r="E97" s="56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spans="1:29" ht="21.6" customHeight="1" x14ac:dyDescent="0.2">
      <c r="A98" s="52"/>
      <c r="B98" s="54"/>
      <c r="C98" s="55"/>
      <c r="D98" s="56"/>
      <c r="E98" s="56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</row>
    <row r="99" spans="1:29" ht="21.6" customHeight="1" x14ac:dyDescent="0.2">
      <c r="A99" s="52"/>
      <c r="B99" s="53"/>
      <c r="C99" s="53"/>
      <c r="D99" s="53"/>
      <c r="E99" s="53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 spans="1:29" ht="21.6" customHeight="1" x14ac:dyDescent="0.2">
      <c r="A100" s="52"/>
      <c r="B100" s="53"/>
      <c r="C100" s="54"/>
      <c r="D100" s="54"/>
      <c r="E100" s="54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1"/>
      <c r="V100" s="51"/>
      <c r="W100" s="51"/>
      <c r="X100" s="51"/>
      <c r="Y100" s="51"/>
      <c r="Z100" s="51"/>
      <c r="AA100" s="51"/>
      <c r="AB100" s="51"/>
      <c r="AC100" s="51"/>
    </row>
    <row r="101" spans="1:29" ht="21.6" customHeight="1" x14ac:dyDescent="0.2">
      <c r="A101" s="52"/>
      <c r="B101" s="53"/>
      <c r="C101" s="55"/>
      <c r="D101" s="55"/>
      <c r="E101" s="55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1"/>
      <c r="V101" s="51"/>
      <c r="W101" s="51"/>
      <c r="X101" s="51"/>
      <c r="Y101" s="51"/>
      <c r="Z101" s="51"/>
      <c r="AA101" s="51"/>
      <c r="AB101" s="51"/>
      <c r="AC101" s="51"/>
    </row>
    <row r="102" spans="1:29" ht="21.6" customHeight="1" x14ac:dyDescent="0.2">
      <c r="A102" s="52"/>
      <c r="B102" s="53"/>
      <c r="C102" s="55"/>
      <c r="D102" s="55"/>
      <c r="E102" s="55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1"/>
      <c r="V102" s="51"/>
      <c r="W102" s="51"/>
      <c r="X102" s="51"/>
      <c r="Y102" s="51"/>
      <c r="Z102" s="51"/>
      <c r="AA102" s="51"/>
      <c r="AB102" s="51"/>
      <c r="AC102" s="51"/>
    </row>
    <row r="103" spans="1:29" ht="21.6" customHeight="1" x14ac:dyDescent="0.2">
      <c r="A103" s="52"/>
      <c r="B103" s="53"/>
      <c r="C103" s="55"/>
      <c r="D103" s="55"/>
      <c r="E103" s="55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1"/>
      <c r="V103" s="51"/>
      <c r="W103" s="51"/>
      <c r="X103" s="51"/>
      <c r="Y103" s="51"/>
      <c r="Z103" s="51"/>
      <c r="AA103" s="51"/>
      <c r="AB103" s="51"/>
      <c r="AC103" s="51"/>
    </row>
    <row r="104" spans="1:29" ht="21.6" customHeight="1" x14ac:dyDescent="0.2">
      <c r="A104" s="52"/>
      <c r="B104" s="53"/>
      <c r="C104" s="55"/>
      <c r="D104" s="55"/>
      <c r="E104" s="55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1"/>
      <c r="V104" s="51"/>
      <c r="W104" s="51"/>
      <c r="X104" s="51"/>
      <c r="Y104" s="51"/>
      <c r="Z104" s="51"/>
      <c r="AA104" s="51"/>
      <c r="AB104" s="51"/>
      <c r="AC104" s="51"/>
    </row>
    <row r="105" spans="1:29" ht="21.6" customHeight="1" x14ac:dyDescent="0.2">
      <c r="A105" s="52"/>
      <c r="B105" s="53"/>
      <c r="C105" s="55"/>
      <c r="D105" s="55"/>
      <c r="E105" s="55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1"/>
      <c r="V105" s="51"/>
      <c r="W105" s="51"/>
      <c r="X105" s="51"/>
      <c r="Y105" s="51"/>
      <c r="Z105" s="51"/>
      <c r="AA105" s="51"/>
      <c r="AB105" s="51"/>
      <c r="AC105" s="51"/>
    </row>
    <row r="106" spans="1:29" ht="21.6" customHeight="1" x14ac:dyDescent="0.2">
      <c r="A106" s="52"/>
      <c r="B106" s="53"/>
      <c r="C106" s="55"/>
      <c r="D106" s="55"/>
      <c r="E106" s="55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1"/>
      <c r="V106" s="51"/>
      <c r="W106" s="51"/>
      <c r="X106" s="51"/>
      <c r="Y106" s="51"/>
      <c r="Z106" s="51"/>
      <c r="AA106" s="51"/>
      <c r="AB106" s="51"/>
      <c r="AC106" s="51"/>
    </row>
    <row r="107" spans="1:29" ht="21.6" customHeight="1" x14ac:dyDescent="0.2">
      <c r="A107" s="52"/>
      <c r="B107" s="53"/>
      <c r="C107" s="55"/>
      <c r="D107" s="55"/>
      <c r="E107" s="55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1"/>
      <c r="V107" s="51"/>
      <c r="W107" s="51"/>
      <c r="X107" s="51"/>
      <c r="Y107" s="51"/>
      <c r="Z107" s="51"/>
      <c r="AA107" s="51"/>
      <c r="AB107" s="51"/>
      <c r="AC107" s="51"/>
    </row>
    <row r="108" spans="1:29" ht="21.6" customHeight="1" x14ac:dyDescent="0.2">
      <c r="A108" s="52"/>
      <c r="B108" s="53"/>
      <c r="C108" s="55"/>
      <c r="D108" s="55"/>
      <c r="E108" s="55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1"/>
      <c r="V108" s="51"/>
      <c r="W108" s="51"/>
      <c r="X108" s="51"/>
      <c r="Y108" s="51"/>
      <c r="Z108" s="51"/>
      <c r="AA108" s="51"/>
      <c r="AB108" s="51"/>
      <c r="AC108" s="51"/>
    </row>
    <row r="109" spans="1:29" ht="21.6" customHeight="1" x14ac:dyDescent="0.2">
      <c r="A109" s="52"/>
      <c r="B109" s="53"/>
      <c r="C109" s="53"/>
      <c r="D109" s="53"/>
      <c r="E109" s="53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1"/>
      <c r="V109" s="51"/>
      <c r="W109" s="51"/>
      <c r="X109" s="51"/>
      <c r="Y109" s="51"/>
      <c r="Z109" s="51"/>
      <c r="AA109" s="51"/>
      <c r="AB109" s="51"/>
      <c r="AC109" s="51"/>
    </row>
    <row r="110" spans="1:29" ht="21.6" customHeight="1" x14ac:dyDescent="0.2">
      <c r="A110" s="52"/>
      <c r="B110" s="53"/>
      <c r="C110" s="54"/>
      <c r="D110" s="54"/>
      <c r="E110" s="54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1"/>
      <c r="V110" s="51"/>
      <c r="W110" s="51"/>
      <c r="X110" s="51"/>
      <c r="Y110" s="51"/>
      <c r="Z110" s="51"/>
      <c r="AA110" s="51"/>
      <c r="AB110" s="51"/>
      <c r="AC110" s="51"/>
    </row>
    <row r="111" spans="1:29" ht="21.6" customHeight="1" x14ac:dyDescent="0.2">
      <c r="A111" s="52"/>
      <c r="B111" s="53"/>
      <c r="C111" s="55"/>
      <c r="D111" s="55"/>
      <c r="E111" s="55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1"/>
      <c r="V111" s="51"/>
      <c r="W111" s="51"/>
      <c r="X111" s="51"/>
      <c r="Y111" s="51"/>
      <c r="Z111" s="51"/>
      <c r="AA111" s="51"/>
      <c r="AB111" s="51"/>
      <c r="AC111" s="51"/>
    </row>
    <row r="112" spans="1:29" ht="21.6" customHeight="1" x14ac:dyDescent="0.2">
      <c r="A112" s="52"/>
      <c r="B112" s="53"/>
      <c r="C112" s="55"/>
      <c r="D112" s="55"/>
      <c r="E112" s="55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1"/>
      <c r="V112" s="51"/>
      <c r="W112" s="51"/>
      <c r="X112" s="51"/>
      <c r="Y112" s="51"/>
      <c r="Z112" s="51"/>
      <c r="AA112" s="51"/>
      <c r="AB112" s="51"/>
      <c r="AC112" s="51"/>
    </row>
    <row r="113" spans="1:29" ht="21.6" customHeight="1" x14ac:dyDescent="0.2">
      <c r="A113" s="52"/>
      <c r="B113" s="53"/>
      <c r="C113" s="55"/>
      <c r="D113" s="55"/>
      <c r="E113" s="55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1"/>
      <c r="V113" s="51"/>
      <c r="W113" s="51"/>
      <c r="X113" s="51"/>
      <c r="Y113" s="51"/>
      <c r="Z113" s="51"/>
      <c r="AA113" s="51"/>
      <c r="AB113" s="51"/>
      <c r="AC113" s="51"/>
    </row>
    <row r="114" spans="1:29" ht="21.6" customHeight="1" x14ac:dyDescent="0.2">
      <c r="A114" s="52"/>
      <c r="B114" s="53"/>
      <c r="C114" s="55"/>
      <c r="D114" s="55"/>
      <c r="E114" s="55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1"/>
      <c r="V114" s="51"/>
      <c r="W114" s="51"/>
      <c r="X114" s="51"/>
      <c r="Y114" s="51"/>
      <c r="Z114" s="51"/>
      <c r="AA114" s="51"/>
      <c r="AB114" s="51"/>
      <c r="AC114" s="51"/>
    </row>
    <row r="115" spans="1:29" ht="21.6" customHeight="1" x14ac:dyDescent="0.2">
      <c r="A115" s="52"/>
      <c r="B115" s="53"/>
      <c r="C115" s="55"/>
      <c r="D115" s="55"/>
      <c r="E115" s="55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1"/>
      <c r="V115" s="51"/>
      <c r="W115" s="51"/>
      <c r="X115" s="51"/>
      <c r="Y115" s="51"/>
      <c r="Z115" s="51"/>
      <c r="AA115" s="51"/>
      <c r="AB115" s="51"/>
      <c r="AC115" s="51"/>
    </row>
    <row r="116" spans="1:29" ht="21.6" customHeight="1" x14ac:dyDescent="0.2">
      <c r="A116" s="52"/>
      <c r="B116" s="53"/>
      <c r="C116" s="55"/>
      <c r="D116" s="55"/>
      <c r="E116" s="55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1"/>
      <c r="V116" s="51"/>
      <c r="W116" s="51"/>
      <c r="X116" s="51"/>
      <c r="Y116" s="51"/>
      <c r="Z116" s="51"/>
      <c r="AA116" s="51"/>
      <c r="AB116" s="51"/>
      <c r="AC116" s="51"/>
    </row>
    <row r="117" spans="1:29" ht="21.6" customHeight="1" x14ac:dyDescent="0.2">
      <c r="A117" s="52"/>
      <c r="B117" s="53"/>
      <c r="C117" s="55"/>
      <c r="D117" s="55"/>
      <c r="E117" s="55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</row>
    <row r="118" spans="1:29" ht="21.6" customHeight="1" x14ac:dyDescent="0.2">
      <c r="A118" s="52"/>
      <c r="B118" s="53"/>
      <c r="C118" s="55"/>
      <c r="D118" s="55"/>
      <c r="E118" s="55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</row>
    <row r="119" spans="1:29" ht="21.6" customHeight="1" x14ac:dyDescent="0.2">
      <c r="A119" s="52"/>
      <c r="B119" s="53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1"/>
      <c r="V119" s="51"/>
      <c r="W119" s="51"/>
      <c r="X119" s="51"/>
      <c r="Y119" s="51"/>
      <c r="Z119" s="51"/>
      <c r="AA119" s="51"/>
      <c r="AB119" s="51"/>
      <c r="AC119" s="51"/>
    </row>
    <row r="120" spans="1:29" ht="21.6" customHeight="1" x14ac:dyDescent="0.2">
      <c r="A120" s="52"/>
      <c r="B120" s="53"/>
      <c r="C120" s="53"/>
      <c r="D120" s="53"/>
      <c r="E120" s="53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</row>
    <row r="121" spans="1:29" ht="21.6" customHeight="1" x14ac:dyDescent="0.2">
      <c r="A121" s="52"/>
      <c r="B121" s="53"/>
      <c r="C121" s="54"/>
      <c r="D121" s="54"/>
      <c r="E121" s="54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spans="1:29" ht="21.6" customHeight="1" x14ac:dyDescent="0.2">
      <c r="A122" s="52"/>
      <c r="B122" s="54"/>
      <c r="C122" s="56"/>
      <c r="D122" s="56"/>
      <c r="E122" s="56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</row>
    <row r="123" spans="1:29" ht="21.6" customHeight="1" x14ac:dyDescent="0.2">
      <c r="A123" s="52"/>
      <c r="B123" s="54"/>
      <c r="C123" s="56"/>
      <c r="D123" s="56"/>
      <c r="E123" s="56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</row>
    <row r="124" spans="1:29" ht="21.6" customHeight="1" x14ac:dyDescent="0.2">
      <c r="A124" s="52"/>
      <c r="B124" s="54"/>
      <c r="C124" s="56"/>
      <c r="D124" s="56"/>
      <c r="E124" s="56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</row>
    <row r="125" spans="1:29" ht="21.6" customHeight="1" x14ac:dyDescent="0.2">
      <c r="A125" s="52"/>
      <c r="B125" s="54"/>
      <c r="C125" s="56"/>
      <c r="D125" s="56"/>
      <c r="E125" s="56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</row>
    <row r="126" spans="1:29" ht="21.6" customHeight="1" x14ac:dyDescent="0.2">
      <c r="A126" s="52"/>
      <c r="B126" s="54"/>
      <c r="C126" s="55"/>
      <c r="D126" s="56"/>
      <c r="E126" s="56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</row>
    <row r="127" spans="1:29" ht="21.6" customHeight="1" x14ac:dyDescent="0.2">
      <c r="A127" s="52"/>
      <c r="B127" s="54"/>
      <c r="C127" s="55"/>
      <c r="D127" s="56"/>
      <c r="E127" s="56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spans="1:29" ht="21.6" customHeight="1" x14ac:dyDescent="0.2">
      <c r="A128" s="52"/>
      <c r="B128" s="54"/>
      <c r="C128" s="55"/>
      <c r="D128" s="56"/>
      <c r="E128" s="56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</row>
    <row r="129" spans="1:29" ht="21.6" customHeight="1" x14ac:dyDescent="0.2">
      <c r="A129" s="52"/>
      <c r="B129" s="54"/>
      <c r="C129" s="55"/>
      <c r="D129" s="56"/>
      <c r="E129" s="56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</row>
    <row r="130" spans="1:29" ht="21.6" customHeight="1" x14ac:dyDescent="0.2">
      <c r="A130" s="52"/>
      <c r="B130" s="54"/>
      <c r="C130" s="55"/>
      <c r="D130" s="56"/>
      <c r="E130" s="56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</row>
    <row r="131" spans="1:29" ht="21.6" customHeight="1" x14ac:dyDescent="0.2">
      <c r="A131" s="52"/>
      <c r="B131" s="54"/>
      <c r="C131" s="55"/>
      <c r="D131" s="56"/>
      <c r="E131" s="56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</row>
    <row r="132" spans="1:29" ht="21.6" customHeight="1" x14ac:dyDescent="0.2">
      <c r="A132" s="52"/>
      <c r="B132" s="54"/>
      <c r="C132" s="55"/>
      <c r="D132" s="56"/>
      <c r="E132" s="56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</row>
    <row r="133" spans="1:29" ht="21.6" customHeight="1" x14ac:dyDescent="0.2">
      <c r="A133" s="52"/>
      <c r="B133" s="54"/>
      <c r="C133" s="55"/>
      <c r="D133" s="56"/>
      <c r="E133" s="56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1:29" ht="21.6" customHeight="1" x14ac:dyDescent="0.2">
      <c r="A134" s="52"/>
      <c r="B134" s="53"/>
      <c r="C134" s="53"/>
      <c r="D134" s="53"/>
      <c r="E134" s="53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</row>
    <row r="135" spans="1:29" ht="21.6" customHeight="1" x14ac:dyDescent="0.2">
      <c r="A135" s="52"/>
      <c r="B135" s="53"/>
      <c r="C135" s="54"/>
      <c r="D135" s="54"/>
      <c r="E135" s="54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</row>
    <row r="136" spans="1:29" ht="21.6" customHeight="1" x14ac:dyDescent="0.2">
      <c r="A136" s="52"/>
      <c r="B136" s="54"/>
      <c r="C136" s="55"/>
      <c r="D136" s="55"/>
      <c r="E136" s="55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</row>
    <row r="137" spans="1:29" ht="21.6" customHeight="1" x14ac:dyDescent="0.2">
      <c r="A137" s="52"/>
      <c r="B137" s="54"/>
      <c r="C137" s="55"/>
      <c r="D137" s="55"/>
      <c r="E137" s="55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</row>
    <row r="138" spans="1:29" ht="21.6" customHeight="1" x14ac:dyDescent="0.2">
      <c r="A138" s="52"/>
      <c r="B138" s="54"/>
      <c r="C138" s="55"/>
      <c r="D138" s="55"/>
      <c r="E138" s="55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</row>
    <row r="139" spans="1:29" ht="21.6" customHeight="1" x14ac:dyDescent="0.2">
      <c r="A139" s="52"/>
      <c r="B139" s="54"/>
      <c r="C139" s="55"/>
      <c r="D139" s="55"/>
      <c r="E139" s="55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</row>
    <row r="140" spans="1:29" ht="21.6" customHeight="1" x14ac:dyDescent="0.2">
      <c r="A140" s="52"/>
      <c r="B140" s="54"/>
      <c r="C140" s="55"/>
      <c r="D140" s="55"/>
      <c r="E140" s="55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</row>
    <row r="141" spans="1:29" ht="21.6" customHeight="1" x14ac:dyDescent="0.2">
      <c r="A141" s="52"/>
      <c r="B141" s="54"/>
      <c r="C141" s="55"/>
      <c r="D141" s="55"/>
      <c r="E141" s="55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</row>
    <row r="142" spans="1:29" ht="21.6" customHeight="1" x14ac:dyDescent="0.2">
      <c r="A142" s="52"/>
      <c r="B142" s="54"/>
      <c r="C142" s="55"/>
      <c r="D142" s="55"/>
      <c r="E142" s="55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 spans="1:29" ht="21.6" customHeight="1" x14ac:dyDescent="0.2">
      <c r="A143" s="52"/>
      <c r="B143" s="54"/>
      <c r="C143" s="55"/>
      <c r="D143" s="55"/>
      <c r="E143" s="55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</row>
    <row r="144" spans="1:29" ht="21.6" customHeight="1" x14ac:dyDescent="0.2">
      <c r="A144" s="52"/>
      <c r="B144" s="54"/>
      <c r="C144" s="55"/>
      <c r="D144" s="55"/>
      <c r="E144" s="55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</row>
    <row r="145" spans="1:29" ht="21.6" customHeight="1" x14ac:dyDescent="0.2">
      <c r="A145" s="52"/>
      <c r="B145" s="54"/>
      <c r="C145" s="55"/>
      <c r="D145" s="55"/>
      <c r="E145" s="55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</row>
    <row r="146" spans="1:29" ht="21.6" customHeight="1" x14ac:dyDescent="0.2">
      <c r="A146" s="52"/>
      <c r="B146" s="54"/>
      <c r="C146" s="55"/>
      <c r="D146" s="55"/>
      <c r="E146" s="55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</row>
    <row r="147" spans="1:29" ht="21.6" customHeight="1" x14ac:dyDescent="0.2">
      <c r="A147" s="52"/>
      <c r="B147" s="54"/>
      <c r="C147" s="55"/>
      <c r="D147" s="55"/>
      <c r="E147" s="55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</row>
    <row r="148" spans="1:29" ht="21.6" customHeight="1" x14ac:dyDescent="0.2">
      <c r="A148" s="52"/>
      <c r="B148" s="53"/>
      <c r="C148" s="53"/>
      <c r="D148" s="53"/>
      <c r="E148" s="53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</row>
    <row r="149" spans="1:29" ht="21.6" customHeight="1" x14ac:dyDescent="0.2">
      <c r="A149" s="52"/>
      <c r="B149" s="53"/>
      <c r="C149" s="54"/>
      <c r="D149" s="54"/>
      <c r="E149" s="54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</row>
    <row r="150" spans="1:29" ht="21.6" customHeight="1" x14ac:dyDescent="0.2">
      <c r="A150" s="52"/>
      <c r="B150" s="54"/>
      <c r="C150" s="55"/>
      <c r="D150" s="55"/>
      <c r="E150" s="55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</row>
    <row r="151" spans="1:29" ht="21.6" customHeight="1" x14ac:dyDescent="0.2">
      <c r="A151" s="52"/>
      <c r="B151" s="54"/>
      <c r="C151" s="55"/>
      <c r="D151" s="55"/>
      <c r="E151" s="55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</row>
    <row r="152" spans="1:29" ht="21.6" customHeight="1" x14ac:dyDescent="0.2">
      <c r="A152" s="52"/>
      <c r="B152" s="54"/>
      <c r="C152" s="55"/>
      <c r="D152" s="55"/>
      <c r="E152" s="55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</row>
    <row r="153" spans="1:29" ht="21.6" customHeight="1" x14ac:dyDescent="0.2">
      <c r="A153" s="52"/>
      <c r="B153" s="54"/>
      <c r="C153" s="55"/>
      <c r="D153" s="55"/>
      <c r="E153" s="55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</row>
    <row r="154" spans="1:29" ht="21.6" customHeight="1" x14ac:dyDescent="0.2">
      <c r="A154" s="52"/>
      <c r="B154" s="54"/>
      <c r="C154" s="55"/>
      <c r="D154" s="55"/>
      <c r="E154" s="55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</row>
    <row r="155" spans="1:29" ht="21.6" customHeight="1" x14ac:dyDescent="0.2">
      <c r="A155" s="52"/>
      <c r="B155" s="54"/>
      <c r="C155" s="55"/>
      <c r="D155" s="55"/>
      <c r="E155" s="55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</row>
    <row r="156" spans="1:29" ht="21.6" customHeight="1" x14ac:dyDescent="0.2">
      <c r="A156" s="52"/>
      <c r="B156" s="54"/>
      <c r="C156" s="55"/>
      <c r="D156" s="55"/>
      <c r="E156" s="55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spans="1:29" ht="21.6" customHeight="1" x14ac:dyDescent="0.2">
      <c r="A157" s="52"/>
      <c r="B157" s="54"/>
      <c r="C157" s="55"/>
      <c r="D157" s="55"/>
      <c r="E157" s="55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spans="1:29" ht="21.6" customHeight="1" x14ac:dyDescent="0.2">
      <c r="A158" s="52"/>
      <c r="B158" s="54"/>
      <c r="C158" s="55"/>
      <c r="D158" s="55"/>
      <c r="E158" s="55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</row>
    <row r="159" spans="1:29" ht="21.6" customHeight="1" x14ac:dyDescent="0.2">
      <c r="A159" s="52"/>
      <c r="B159" s="54"/>
      <c r="C159" s="55"/>
      <c r="D159" s="55"/>
      <c r="E159" s="55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  <c r="AC159" s="57"/>
    </row>
    <row r="160" spans="1:29" ht="21.6" customHeight="1" x14ac:dyDescent="0.2">
      <c r="A160" s="52"/>
      <c r="B160" s="54"/>
      <c r="C160" s="55"/>
      <c r="D160" s="55"/>
      <c r="E160" s="55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</row>
    <row r="161" spans="1:29" ht="21.6" customHeight="1" x14ac:dyDescent="0.2">
      <c r="A161" s="52"/>
      <c r="B161" s="54"/>
      <c r="C161" s="55"/>
      <c r="D161" s="55"/>
      <c r="E161" s="55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</row>
    <row r="162" spans="1:29" ht="21.6" customHeight="1" x14ac:dyDescent="0.2">
      <c r="A162" s="52"/>
      <c r="B162" s="53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</row>
    <row r="163" spans="1:29" ht="21.6" customHeight="1" x14ac:dyDescent="0.2">
      <c r="A163" s="52"/>
      <c r="B163" s="53"/>
      <c r="C163" s="53"/>
      <c r="D163" s="53"/>
      <c r="E163" s="53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</row>
    <row r="164" spans="1:29" ht="21.6" customHeight="1" x14ac:dyDescent="0.2">
      <c r="A164" s="52"/>
      <c r="B164" s="53"/>
      <c r="C164" s="54"/>
      <c r="D164" s="54"/>
      <c r="E164" s="54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</row>
    <row r="165" spans="1:29" ht="21.6" customHeight="1" x14ac:dyDescent="0.2">
      <c r="A165" s="52"/>
      <c r="B165" s="54"/>
      <c r="C165" s="55"/>
      <c r="D165" s="56"/>
      <c r="E165" s="56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</row>
    <row r="166" spans="1:29" ht="21.6" customHeight="1" x14ac:dyDescent="0.2">
      <c r="A166" s="52"/>
      <c r="B166" s="54"/>
      <c r="C166" s="55"/>
      <c r="D166" s="56"/>
      <c r="E166" s="56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</row>
    <row r="167" spans="1:29" ht="21.6" customHeight="1" x14ac:dyDescent="0.2">
      <c r="A167" s="52"/>
      <c r="B167" s="54"/>
      <c r="C167" s="55"/>
      <c r="D167" s="56"/>
      <c r="E167" s="56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</row>
    <row r="168" spans="1:29" ht="21.6" customHeight="1" x14ac:dyDescent="0.2">
      <c r="A168" s="52"/>
      <c r="B168" s="54"/>
      <c r="C168" s="55"/>
      <c r="D168" s="56"/>
      <c r="E168" s="56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</row>
    <row r="169" spans="1:29" ht="21.6" customHeight="1" x14ac:dyDescent="0.2">
      <c r="A169" s="52"/>
      <c r="B169" s="54"/>
      <c r="C169" s="55"/>
      <c r="D169" s="56"/>
      <c r="E169" s="56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</row>
    <row r="170" spans="1:29" ht="21.6" customHeight="1" x14ac:dyDescent="0.2">
      <c r="A170" s="52"/>
      <c r="B170" s="53"/>
      <c r="C170" s="53"/>
      <c r="D170" s="53"/>
      <c r="E170" s="53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</row>
    <row r="171" spans="1:29" ht="21.6" customHeight="1" x14ac:dyDescent="0.2">
      <c r="A171" s="52"/>
      <c r="B171" s="53"/>
      <c r="C171" s="54"/>
      <c r="D171" s="54"/>
      <c r="E171" s="54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</row>
    <row r="172" spans="1:29" ht="21.6" customHeight="1" x14ac:dyDescent="0.2">
      <c r="A172" s="52"/>
      <c r="B172" s="53"/>
      <c r="C172" s="55"/>
      <c r="D172" s="55"/>
      <c r="E172" s="55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</row>
    <row r="173" spans="1:29" ht="21.6" customHeight="1" x14ac:dyDescent="0.2">
      <c r="A173" s="52"/>
      <c r="B173" s="53"/>
      <c r="C173" s="55"/>
      <c r="D173" s="55"/>
      <c r="E173" s="55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</row>
    <row r="174" spans="1:29" ht="21.6" customHeight="1" x14ac:dyDescent="0.2">
      <c r="A174" s="52"/>
      <c r="B174" s="53"/>
      <c r="C174" s="55"/>
      <c r="D174" s="55"/>
      <c r="E174" s="55"/>
      <c r="F174" s="57"/>
      <c r="G174" s="57"/>
      <c r="H174" s="57"/>
      <c r="I174" s="57"/>
      <c r="J174" s="57"/>
      <c r="K174" s="57"/>
      <c r="L174" s="57"/>
      <c r="M174" s="57"/>
      <c r="N174" s="57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</row>
    <row r="175" spans="1:29" ht="21.6" customHeight="1" x14ac:dyDescent="0.2">
      <c r="A175" s="52"/>
      <c r="B175" s="53"/>
      <c r="C175" s="55"/>
      <c r="D175" s="55"/>
      <c r="E175" s="55"/>
      <c r="F175" s="57"/>
      <c r="G175" s="57"/>
      <c r="H175" s="57"/>
      <c r="I175" s="57"/>
      <c r="J175" s="57"/>
      <c r="K175" s="57"/>
      <c r="L175" s="57"/>
      <c r="M175" s="57"/>
      <c r="N175" s="57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</row>
    <row r="176" spans="1:29" ht="21.6" customHeight="1" x14ac:dyDescent="0.2">
      <c r="A176" s="52"/>
      <c r="B176" s="53"/>
      <c r="C176" s="55"/>
      <c r="D176" s="55"/>
      <c r="E176" s="55"/>
      <c r="F176" s="57"/>
      <c r="G176" s="57"/>
      <c r="H176" s="57"/>
      <c r="I176" s="57"/>
      <c r="J176" s="57"/>
      <c r="K176" s="57"/>
      <c r="L176" s="57"/>
      <c r="M176" s="57"/>
      <c r="N176" s="57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 spans="1:29" ht="21.6" customHeight="1" x14ac:dyDescent="0.2">
      <c r="A177" s="52"/>
      <c r="B177" s="53"/>
      <c r="C177" s="53"/>
      <c r="D177" s="53"/>
      <c r="E177" s="53"/>
      <c r="F177" s="57"/>
      <c r="G177" s="57"/>
      <c r="H177" s="57"/>
      <c r="I177" s="57"/>
      <c r="J177" s="57"/>
      <c r="K177" s="57"/>
      <c r="L177" s="57"/>
      <c r="M177" s="57"/>
      <c r="N177" s="57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</row>
    <row r="178" spans="1:29" ht="21.6" customHeight="1" x14ac:dyDescent="0.2">
      <c r="A178" s="52"/>
      <c r="B178" s="53"/>
      <c r="C178" s="54"/>
      <c r="D178" s="54"/>
      <c r="E178" s="54"/>
      <c r="F178" s="57"/>
      <c r="G178" s="57"/>
      <c r="H178" s="57"/>
      <c r="I178" s="57"/>
      <c r="J178" s="57"/>
      <c r="K178" s="57"/>
      <c r="L178" s="57"/>
      <c r="M178" s="57"/>
      <c r="N178" s="57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</row>
    <row r="179" spans="1:29" ht="21.6" customHeight="1" x14ac:dyDescent="0.2">
      <c r="A179" s="52"/>
      <c r="B179" s="53"/>
      <c r="C179" s="55"/>
      <c r="D179" s="55"/>
      <c r="E179" s="55"/>
      <c r="F179" s="57"/>
      <c r="G179" s="57"/>
      <c r="H179" s="57"/>
      <c r="I179" s="57"/>
      <c r="J179" s="57"/>
      <c r="K179" s="57"/>
      <c r="L179" s="57"/>
      <c r="M179" s="57"/>
      <c r="N179" s="57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</row>
    <row r="180" spans="1:29" ht="21.6" customHeight="1" x14ac:dyDescent="0.2">
      <c r="A180" s="52"/>
      <c r="B180" s="53"/>
      <c r="C180" s="55"/>
      <c r="D180" s="55"/>
      <c r="E180" s="55"/>
      <c r="F180" s="57"/>
      <c r="G180" s="57"/>
      <c r="H180" s="57"/>
      <c r="I180" s="57"/>
      <c r="J180" s="57"/>
      <c r="K180" s="57"/>
      <c r="L180" s="57"/>
      <c r="M180" s="57"/>
      <c r="N180" s="57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</row>
    <row r="181" spans="1:29" ht="21.6" customHeight="1" x14ac:dyDescent="0.2">
      <c r="A181" s="52"/>
      <c r="B181" s="53"/>
      <c r="C181" s="55"/>
      <c r="D181" s="55"/>
      <c r="E181" s="55"/>
      <c r="F181" s="57"/>
      <c r="G181" s="57"/>
      <c r="H181" s="57"/>
      <c r="I181" s="57"/>
      <c r="J181" s="57"/>
      <c r="K181" s="57"/>
      <c r="L181" s="57"/>
      <c r="M181" s="57"/>
      <c r="N181" s="57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</row>
    <row r="182" spans="1:29" ht="21.6" customHeight="1" x14ac:dyDescent="0.2">
      <c r="A182" s="52"/>
      <c r="B182" s="53"/>
      <c r="C182" s="55"/>
      <c r="D182" s="55"/>
      <c r="E182" s="55"/>
      <c r="F182" s="57"/>
      <c r="G182" s="57"/>
      <c r="H182" s="57"/>
      <c r="I182" s="57"/>
      <c r="J182" s="57"/>
      <c r="K182" s="57"/>
      <c r="L182" s="57"/>
      <c r="M182" s="57"/>
      <c r="N182" s="57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</row>
    <row r="183" spans="1:29" ht="21.6" customHeight="1" x14ac:dyDescent="0.2">
      <c r="A183" s="52"/>
      <c r="B183" s="53"/>
      <c r="C183" s="55"/>
      <c r="D183" s="55"/>
      <c r="E183" s="55"/>
      <c r="F183" s="57"/>
      <c r="G183" s="57"/>
      <c r="H183" s="57"/>
      <c r="I183" s="57"/>
      <c r="J183" s="57"/>
      <c r="K183" s="57"/>
      <c r="L183" s="57"/>
      <c r="M183" s="57"/>
      <c r="N183" s="57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</row>
    <row r="184" spans="1:29" ht="21.6" customHeight="1" x14ac:dyDescent="0.2">
      <c r="A184" s="52"/>
      <c r="B184" s="53"/>
      <c r="C184" s="53"/>
      <c r="D184" s="53"/>
      <c r="E184" s="53"/>
      <c r="F184" s="57"/>
      <c r="G184" s="57"/>
      <c r="H184" s="57"/>
      <c r="I184" s="57"/>
      <c r="J184" s="57"/>
      <c r="K184" s="57"/>
      <c r="L184" s="57"/>
      <c r="M184" s="57"/>
      <c r="N184" s="57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</row>
    <row r="185" spans="1:29" ht="21.6" customHeight="1" x14ac:dyDescent="0.2">
      <c r="A185" s="52"/>
      <c r="B185" s="58"/>
      <c r="C185" s="58"/>
      <c r="D185" s="58"/>
      <c r="E185" s="58"/>
      <c r="F185" s="57"/>
      <c r="G185" s="57"/>
      <c r="H185" s="57"/>
      <c r="I185" s="57"/>
      <c r="J185" s="57"/>
      <c r="K185" s="57"/>
      <c r="L185" s="57"/>
      <c r="M185" s="57"/>
      <c r="N185" s="57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</row>
    <row r="186" spans="1:29" ht="21.6" customHeight="1" x14ac:dyDescent="0.2">
      <c r="A186" s="52"/>
      <c r="B186" s="58"/>
      <c r="C186" s="58"/>
      <c r="D186" s="58"/>
      <c r="E186" s="58"/>
      <c r="F186" s="57"/>
      <c r="G186" s="57"/>
      <c r="H186" s="57"/>
      <c r="I186" s="57"/>
      <c r="J186" s="57"/>
      <c r="K186" s="57"/>
      <c r="L186" s="57"/>
      <c r="M186" s="57"/>
      <c r="N186" s="57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</row>
    <row r="187" spans="1:29" ht="21.6" customHeight="1" x14ac:dyDescent="0.2">
      <c r="A187" s="52"/>
      <c r="B187" s="58"/>
      <c r="C187" s="58"/>
      <c r="D187" s="58"/>
      <c r="E187" s="58"/>
      <c r="F187" s="57"/>
      <c r="G187" s="57"/>
      <c r="H187" s="57"/>
      <c r="I187" s="57"/>
      <c r="J187" s="57"/>
      <c r="K187" s="57"/>
      <c r="L187" s="57"/>
      <c r="M187" s="57"/>
      <c r="N187" s="57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</row>
    <row r="188" spans="1:29" ht="21.6" customHeight="1" x14ac:dyDescent="0.2">
      <c r="A188" s="52"/>
      <c r="B188" s="58"/>
      <c r="C188" s="58"/>
      <c r="D188" s="58"/>
      <c r="E188" s="58"/>
      <c r="F188" s="57"/>
      <c r="G188" s="57"/>
      <c r="H188" s="57"/>
      <c r="I188" s="57"/>
      <c r="J188" s="57"/>
      <c r="K188" s="57"/>
      <c r="L188" s="57"/>
      <c r="M188" s="57"/>
      <c r="N188" s="57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</row>
    <row r="189" spans="1:29" ht="21.6" customHeight="1" x14ac:dyDescent="0.2">
      <c r="A189" s="52"/>
      <c r="B189" s="58"/>
      <c r="C189" s="58"/>
      <c r="D189" s="58"/>
      <c r="E189" s="58"/>
      <c r="F189" s="57"/>
      <c r="G189" s="57"/>
      <c r="H189" s="57"/>
      <c r="I189" s="57"/>
      <c r="J189" s="57"/>
      <c r="K189" s="57"/>
      <c r="L189" s="57"/>
      <c r="M189" s="57"/>
      <c r="N189" s="57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</row>
    <row r="190" spans="1:29" ht="21.6" customHeight="1" x14ac:dyDescent="0.2">
      <c r="A190" s="52"/>
      <c r="B190" s="58"/>
      <c r="C190" s="58"/>
      <c r="D190" s="58"/>
      <c r="E190" s="58"/>
      <c r="F190" s="57"/>
      <c r="G190" s="57"/>
      <c r="H190" s="57"/>
      <c r="I190" s="57"/>
      <c r="J190" s="57"/>
      <c r="K190" s="57"/>
      <c r="L190" s="57"/>
      <c r="M190" s="57"/>
      <c r="N190" s="57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</row>
    <row r="191" spans="1:29" ht="21.6" customHeight="1" x14ac:dyDescent="0.2">
      <c r="A191" s="52"/>
      <c r="B191" s="58"/>
      <c r="C191" s="58"/>
      <c r="D191" s="58"/>
      <c r="E191" s="58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</row>
    <row r="192" spans="1:29" ht="21.6" customHeight="1" x14ac:dyDescent="0.2">
      <c r="A192" s="52"/>
      <c r="B192" s="58"/>
      <c r="C192" s="58"/>
      <c r="D192" s="58"/>
      <c r="E192" s="58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 spans="1:14" ht="21.6" customHeight="1" x14ac:dyDescent="0.25">
      <c r="A193" s="46"/>
      <c r="B193" s="29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</row>
  </sheetData>
  <mergeCells count="24">
    <mergeCell ref="A24:L24"/>
    <mergeCell ref="M24:N24"/>
    <mergeCell ref="M1:N1"/>
    <mergeCell ref="A1:L1"/>
    <mergeCell ref="C12:N12"/>
    <mergeCell ref="A2:A12"/>
    <mergeCell ref="A13:A23"/>
    <mergeCell ref="B22:B23"/>
    <mergeCell ref="C22:N23"/>
    <mergeCell ref="B13:D13"/>
    <mergeCell ref="B2:D2"/>
    <mergeCell ref="C193:N193"/>
    <mergeCell ref="A57:A87"/>
    <mergeCell ref="C87:N87"/>
    <mergeCell ref="C55:N55"/>
    <mergeCell ref="A25:A55"/>
    <mergeCell ref="M56:N56"/>
    <mergeCell ref="A56:L56"/>
    <mergeCell ref="B67:D67"/>
    <mergeCell ref="B77:D77"/>
    <mergeCell ref="B57:D57"/>
    <mergeCell ref="B45:D45"/>
    <mergeCell ref="B35:D35"/>
    <mergeCell ref="B25:D25"/>
  </mergeCells>
  <phoneticPr fontId="8" type="noConversion"/>
  <hyperlinks>
    <hyperlink ref="M1" location="Таблица!A44" display="Соотв. таблица" xr:uid="{4CD65288-3286-4AD3-A58F-54F99559607B}"/>
    <hyperlink ref="M24" location="Таблица!A44" display="Соотв. таблица" xr:uid="{9D7BFC76-831B-45ED-A711-BD69FCBDF5EA}"/>
    <hyperlink ref="M1:N1" location="Таблица!A31" display="Соотв. таблица" xr:uid="{A11C2496-942C-485E-9C90-BC6832A5FEFB}"/>
    <hyperlink ref="M56" location="Таблица!A44" display="Соотв. таблица" xr:uid="{57C3F4DA-44A2-4BA6-819B-4F4F0842531D}"/>
    <hyperlink ref="M56:N56" location="Таблица!A57" display="Соотв. таблица" xr:uid="{16B13C0A-8DCC-47FB-AE09-96076E156513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BDC4-CFAE-4A4A-95F0-395DE59C8746}">
  <dimension ref="M10:M17"/>
  <sheetViews>
    <sheetView workbookViewId="0">
      <selection activeCell="M17" sqref="M17"/>
    </sheetView>
  </sheetViews>
  <sheetFormatPr defaultRowHeight="22.1" x14ac:dyDescent="0.3"/>
  <cols>
    <col min="1" max="16384" width="9.140625" style="40"/>
  </cols>
  <sheetData>
    <row r="10" spans="13:13" x14ac:dyDescent="0.3">
      <c r="M10" s="43" t="s">
        <v>93</v>
      </c>
    </row>
    <row r="11" spans="13:13" x14ac:dyDescent="0.3">
      <c r="M11" s="40" t="s">
        <v>98</v>
      </c>
    </row>
    <row r="12" spans="13:13" x14ac:dyDescent="0.3">
      <c r="M12" s="40" t="s">
        <v>99</v>
      </c>
    </row>
    <row r="13" spans="13:13" x14ac:dyDescent="0.3">
      <c r="M13" s="40" t="s">
        <v>100</v>
      </c>
    </row>
    <row r="14" spans="13:13" x14ac:dyDescent="0.3">
      <c r="M14" s="40" t="s">
        <v>101</v>
      </c>
    </row>
    <row r="17" spans="13:13" x14ac:dyDescent="0.3">
      <c r="M17" s="4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D527A-984B-4A9B-8624-22FA2B3C082C}">
  <dimension ref="B1:M17"/>
  <sheetViews>
    <sheetView tabSelected="1" workbookViewId="0">
      <selection activeCell="O16" sqref="O16"/>
    </sheetView>
  </sheetViews>
  <sheetFormatPr defaultRowHeight="22.1" x14ac:dyDescent="0.3"/>
  <cols>
    <col min="1" max="16384" width="9.140625" style="40"/>
  </cols>
  <sheetData>
    <row r="1" spans="2:13" x14ac:dyDescent="0.3">
      <c r="B1" s="40" t="s">
        <v>107</v>
      </c>
    </row>
    <row r="10" spans="2:13" x14ac:dyDescent="0.3">
      <c r="M10" s="43"/>
    </row>
    <row r="12" spans="2:13" x14ac:dyDescent="0.3">
      <c r="B12" s="40" t="s">
        <v>108</v>
      </c>
    </row>
    <row r="17" spans="13:13" x14ac:dyDescent="0.3">
      <c r="M17" s="4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</vt:lpstr>
      <vt:lpstr>Графики</vt:lpstr>
      <vt:lpstr>Про ноутбук</vt:lpstr>
      <vt:lpstr>Про кластер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2026-05-12T15:35:37Z</dcterms:modified>
</cp:coreProperties>
</file>
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41C1BB95-E955-4778-A974-4BFE16B50F67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32" i="2" l="1"/>
  <c r="E142" i="2" s="1"/>
  <c r="E133" i="2"/>
  <c r="E143" i="2" s="1"/>
  <c r="E134" i="2"/>
  <c r="E144" i="2" s="1"/>
  <c r="E135" i="2"/>
  <c r="E145" i="2" s="1"/>
  <c r="E136" i="2"/>
  <c r="E146" i="2" s="1"/>
  <c r="E137" i="2"/>
  <c r="E147" i="2" s="1"/>
  <c r="E138" i="2"/>
  <c r="E148" i="2" s="1"/>
  <c r="E139" i="2"/>
  <c r="E149" i="2" s="1"/>
  <c r="D134" i="2"/>
  <c r="D144" i="2" s="1"/>
  <c r="E101" i="2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06" i="2"/>
  <c r="C116" i="2" s="1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C139" i="2" l="1"/>
  <c r="C149" i="2" s="1"/>
  <c r="D139" i="2"/>
  <c r="D149" i="2" s="1"/>
  <c r="C138" i="2"/>
  <c r="C148" i="2" s="1"/>
  <c r="D138" i="2"/>
  <c r="D148" i="2" s="1"/>
  <c r="C137" i="2"/>
  <c r="C147" i="2" s="1"/>
  <c r="D137" i="2"/>
  <c r="D147" i="2" s="1"/>
  <c r="C136" i="2"/>
  <c r="C146" i="2" s="1"/>
  <c r="D136" i="2"/>
  <c r="D146" i="2" s="1"/>
  <c r="C135" i="2"/>
  <c r="C145" i="2" s="1"/>
  <c r="D135" i="2"/>
  <c r="D145" i="2" s="1"/>
  <c r="C134" i="2"/>
  <c r="C144" i="2" s="1"/>
  <c r="C133" i="2"/>
  <c r="C143" i="2" s="1"/>
  <c r="D133" i="2"/>
  <c r="D143" i="2" s="1"/>
  <c r="C132" i="2"/>
  <c r="C142" i="2" s="1"/>
  <c r="D132" i="2"/>
  <c r="D142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<sst xmlns="http://schemas.openxmlformats.org/spreadsheetml/2006/main" count="244" uniqueCount="115">
  <si>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</si>
  <si>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</si>
  <si>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</si>
  <si>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</si>
  <si>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</si>
  <si>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</si>
  <si>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</si>
  <si>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</si>
  <si>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</si>
  <si>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</si>
  <si>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</si>
  <si>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</si>
  <si>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</si>
  <si>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</si>
  <si>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</si>
  <si>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</si>
  <si>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</si>
  <si>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</si>
  <si>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</si>
  <si>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</si>
  <si>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</si>
  <si>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</si>
  <si>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</si>
  <si>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</si>
  <si>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</si>
  <si>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</si>
  <si>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</si>
  <si>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</si>
  <si>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</si>
  <si>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</si>
  <si>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</si>
  <si>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</si>
  <si>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</si>
  <si>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</si>
  <si>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</si>
  <si>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</si>
  <si>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</si>
  <si>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</si>
  <si>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</si>
  <si>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</si>
  <si>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</si>
  <si>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</si>
  <si>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</si>
  <si>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</si>
  <si>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</si>
  <si>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</si>
  <si>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</si>
  <si>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</si>
  <si>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</si>
  <si>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</si>
  <si>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</si>
  <si>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</si>
  <si>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</si>
  <si>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</si>
  <si>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</si>
  <si>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</si>
  <si>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</si>
  <si>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</si>
  <si>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</si>
  <si>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</si>
  <si>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</si>
  <si>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</si>
  <si>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</si>
  <si>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</si>
  <si>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</si>
  <si>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</si>
  <si>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</si>
  <si>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</si>
  <si>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</si>
  <si>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</si>
  <si>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</si>
  <si>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</si>
  <si>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</si>
  <si>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</si>
  <si>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</si>
  <si>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</si>
  <si>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</si>
  <si>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</si>
  <si>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</si>
  <si>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</si>
  <si>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</si>
  <si>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</si>
  <si>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</si>
  <si>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</si>
  <si>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</si>
  <si>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</si>
  <si>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</si>
  <si>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</si>
  <si>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</si>
  <si>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</si>
  <si>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</si>
  <si>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</si>
  <si>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</si>
  <si>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</si>
  <si>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</si>
  <si>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</si>
  <si>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</si>
  <si>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</si>
  <si>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</si>
  <si>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</si>
  <si>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</si>
  <si>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</si>
  <si>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</si>
  <si>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</si>
  <si>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</si>
  <si>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</si>
  <si>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</si>
  <si>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</si>
  <si>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Замеры на кластере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</si>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</sst>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4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4.8997400000000004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3.4933100000000001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0.21833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5.5549099999999996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0.34717999999999999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Графики!$D$132:$D$139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0B-40B3-98AD-69AA8CF4691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0B-40B3-98AD-69AA8CF46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Графики!$D$142:$D$149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3-46FB-A63A-FB8B69BD5D4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A273-46FB-A63A-FB8B69BD5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Графики!$D$122:$D$129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B-46CE-9C90-667175EBA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Графики!$C$132:$C$139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Графики!$C$142:$C$149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Графики!$C$122:$C$129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Графики!$E$132:$E$139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FA-4E74-82F6-609D5513893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FA-4E74-82F6-609D55138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Графики!$E$142:$E$149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8-4072-9DA7-D43656FF61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F008-4072-9DA7-D43656FF6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Графики!$E$122:$E$129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1B5-9D11-9A68295C2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10</xdr:col>
      <xdr:colOff>0</xdr:colOff>
      <xdr:row>129</xdr:row>
      <xdr:rowOff>25868</xdr:rowOff>
    </xdr:from>
    <xdr:to>
      <xdr:col>14</xdr:col>
      <xdr:colOff>875168</xdr:colOff>
      <xdr:row>139</xdr:row>
      <xdr:rowOff>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5C26A85B-1544-4476-BA3E-E163143F8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10</xdr:col>
      <xdr:colOff>0</xdr:colOff>
      <xdr:row>139</xdr:row>
      <xdr:rowOff>25866</xdr:rowOff>
    </xdr:from>
    <xdr:to>
      <xdr:col>14</xdr:col>
      <xdr:colOff>875168</xdr:colOff>
      <xdr:row>149</xdr:row>
      <xdr:rowOff>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538EF4CE-AF43-43C7-8035-A8735C423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0</xdr:colOff>
      <xdr:row>119</xdr:row>
      <xdr:rowOff>25866</xdr:rowOff>
    </xdr:from>
    <xdr:to>
      <xdr:col>14</xdr:col>
      <xdr:colOff>875168</xdr:colOff>
      <xdr:row>129</xdr:row>
      <xdr:rowOff>1</xdr:rowOff>
    </xdr:to>
    <xdr:graphicFrame macro="">
      <xdr:nvGraphicFramePr>
        <xdr:cNvPr id="57" name="Диаграмма 56">
          <a:extLst>
            <a:ext uri="{FF2B5EF4-FFF2-40B4-BE49-F238E27FC236}">
              <a16:creationId xmlns:a16="http://schemas.microsoft.com/office/drawing/2014/main" id="{9E211DB4-80EC-4216-A845-F915B4157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5</xdr:col>
      <xdr:colOff>0</xdr:colOff>
      <xdr:row>129</xdr:row>
      <xdr:rowOff>25868</xdr:rowOff>
    </xdr:from>
    <xdr:to>
      <xdr:col>9</xdr:col>
      <xdr:colOff>875169</xdr:colOff>
      <xdr:row>139</xdr:row>
      <xdr:rowOff>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0</xdr:colOff>
      <xdr:row>139</xdr:row>
      <xdr:rowOff>25866</xdr:rowOff>
    </xdr:from>
    <xdr:to>
      <xdr:col>9</xdr:col>
      <xdr:colOff>875169</xdr:colOff>
      <xdr:row>149</xdr:row>
      <xdr:rowOff>4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0</xdr:colOff>
      <xdr:row>119</xdr:row>
      <xdr:rowOff>25866</xdr:rowOff>
    </xdr:from>
    <xdr:to>
      <xdr:col>9</xdr:col>
      <xdr:colOff>875169</xdr:colOff>
      <xdr:row>129</xdr:row>
      <xdr:rowOff>1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</xdr:col>
      <xdr:colOff>0</xdr:colOff>
      <xdr:row>129</xdr:row>
      <xdr:rowOff>25868</xdr:rowOff>
    </xdr:from>
    <xdr:to>
      <xdr:col>19</xdr:col>
      <xdr:colOff>875169</xdr:colOff>
      <xdr:row>139</xdr:row>
      <xdr:rowOff>0</xdr:rowOff>
    </xdr:to>
    <xdr:graphicFrame macro="">
      <xdr:nvGraphicFramePr>
        <xdr:cNvPr id="61" name="Диаграмма 60">
          <a:extLst>
            <a:ext uri="{FF2B5EF4-FFF2-40B4-BE49-F238E27FC236}">
              <a16:creationId xmlns:a16="http://schemas.microsoft.com/office/drawing/2014/main" id="{E39445A9-578D-44A4-B26A-5591270DB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</xdr:col>
      <xdr:colOff>0</xdr:colOff>
      <xdr:row>139</xdr:row>
      <xdr:rowOff>25866</xdr:rowOff>
    </xdr:from>
    <xdr:to>
      <xdr:col>19</xdr:col>
      <xdr:colOff>875169</xdr:colOff>
      <xdr:row>149</xdr:row>
      <xdr:rowOff>4</xdr:rowOff>
    </xdr:to>
    <xdr:graphicFrame macro="">
      <xdr:nvGraphicFramePr>
        <xdr:cNvPr id="62" name="Диаграмма 61">
          <a:extLst>
            <a:ext uri="{FF2B5EF4-FFF2-40B4-BE49-F238E27FC236}">
              <a16:creationId xmlns:a16="http://schemas.microsoft.com/office/drawing/2014/main" id="{0DD1AF4D-C7D7-4261-8E89-DF3584759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</xdr:col>
      <xdr:colOff>0</xdr:colOff>
      <xdr:row>119</xdr:row>
      <xdr:rowOff>25866</xdr:rowOff>
    </xdr:from>
    <xdr:to>
      <xdr:col>19</xdr:col>
      <xdr:colOff>875169</xdr:colOff>
      <xdr:row>129</xdr:row>
      <xdr:rowOff>1</xdr:rowOff>
    </xdr:to>
    <xdr:graphicFrame macro="">
      <xdr:nvGraphicFramePr>
        <xdr:cNvPr id="63" name="Диаграмма 62">
          <a:extLst>
            <a:ext uri="{FF2B5EF4-FFF2-40B4-BE49-F238E27FC236}">
              <a16:creationId xmlns:a16="http://schemas.microsoft.com/office/drawing/2014/main" id="{246C40BD-AF51-4D5F-AE81-0E6DE176C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61" workbookViewId="0">
      <selection activeCell="F72" sqref="F72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49" t="s">
        <v>22</v>
      </c>
      <c r="B5" s="50"/>
      <c r="C5" s="50"/>
      <c r="D5" s="50"/>
      <c r="E5" s="51"/>
      <c r="G5" s="56" t="s">
        <v>3</v>
      </c>
      <c r="H5" s="56"/>
      <c r="S5" s="5"/>
      <c r="T5" s="14"/>
      <c r="U5" s="14"/>
      <c r="V5" s="14"/>
      <c r="W5" s="14"/>
    </row>
    <row r="6" spans="1:23" x14ac:dyDescent="0.25">
      <c r="A6" s="4" t="s">
        <v>4</v>
      </c>
      <c r="B6" s="53" t="s">
        <v>5</v>
      </c>
      <c r="C6" s="53"/>
      <c r="D6" s="53"/>
      <c r="E6" s="53"/>
      <c r="G6" s="56"/>
      <c r="H6" s="56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6"/>
      <c r="H7" s="56"/>
      <c r="S7" s="14"/>
      <c r="T7" s="14"/>
      <c r="U7" s="14"/>
      <c r="V7" s="14"/>
      <c r="W7" s="14"/>
    </row>
    <row r="8" spans="1:23" x14ac:dyDescent="0.25">
      <c r="A8" s="54" t="s">
        <v>11</v>
      </c>
      <c r="B8" s="54"/>
      <c r="C8" s="54"/>
      <c r="D8" s="54"/>
      <c r="E8" s="54"/>
      <c r="G8" s="56"/>
      <c r="H8" s="56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4" t="s">
        <v>12</v>
      </c>
      <c r="B12" s="54"/>
      <c r="C12" s="54"/>
      <c r="D12" s="54"/>
      <c r="E12" s="54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8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9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0"/>
      <c r="E15" s="10" t="s">
        <v>10</v>
      </c>
    </row>
    <row r="18" spans="1:9" x14ac:dyDescent="0.25">
      <c r="A18" s="61" t="s">
        <v>32</v>
      </c>
      <c r="B18" s="61"/>
      <c r="C18" s="61"/>
      <c r="D18" s="61"/>
      <c r="E18" s="61"/>
    </row>
    <row r="19" spans="1:9" x14ac:dyDescent="0.25">
      <c r="A19" s="4" t="s">
        <v>4</v>
      </c>
      <c r="B19" s="53" t="s">
        <v>5</v>
      </c>
      <c r="C19" s="53"/>
      <c r="D19" s="53"/>
      <c r="E19" s="53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4" t="s">
        <v>11</v>
      </c>
      <c r="B21" s="54"/>
      <c r="C21" s="54"/>
      <c r="D21" s="54"/>
      <c r="E21" s="54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5"/>
      <c r="I24" s="55"/>
    </row>
    <row r="25" spans="1:9" x14ac:dyDescent="0.25">
      <c r="A25" s="54" t="s">
        <v>12</v>
      </c>
      <c r="B25" s="54"/>
      <c r="C25" s="54"/>
      <c r="D25" s="54"/>
      <c r="E25" s="54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49" t="s">
        <v>70</v>
      </c>
      <c r="B31" s="50"/>
      <c r="C31" s="51"/>
      <c r="D31" s="52" t="s">
        <v>91</v>
      </c>
      <c r="E31" s="52" t="s">
        <v>91</v>
      </c>
      <c r="G31" s="20"/>
      <c r="H31" s="21"/>
      <c r="I31" s="18"/>
    </row>
    <row r="32" spans="1:9" x14ac:dyDescent="0.25">
      <c r="A32" s="4" t="s">
        <v>4</v>
      </c>
      <c r="B32" s="53" t="s">
        <v>5</v>
      </c>
      <c r="C32" s="53"/>
      <c r="D32" s="53"/>
      <c r="E32" s="53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4" t="s">
        <v>11</v>
      </c>
      <c r="B34" s="54"/>
      <c r="C34" s="54"/>
      <c r="D34" s="54"/>
      <c r="E34" s="54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4" t="s">
        <v>12</v>
      </c>
      <c r="B38" s="54"/>
      <c r="C38" s="54"/>
      <c r="D38" s="54"/>
      <c r="E38" s="54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7" t="s">
        <v>66</v>
      </c>
      <c r="C42" s="57"/>
      <c r="D42" s="57"/>
      <c r="E42" s="57"/>
    </row>
    <row r="44" spans="1:9" x14ac:dyDescent="0.25">
      <c r="A44" s="49" t="s">
        <v>82</v>
      </c>
      <c r="B44" s="50"/>
      <c r="C44" s="51"/>
      <c r="D44" s="52" t="s">
        <v>92</v>
      </c>
      <c r="E44" s="52" t="s">
        <v>91</v>
      </c>
    </row>
    <row r="45" spans="1:9" x14ac:dyDescent="0.25">
      <c r="A45" s="4" t="s">
        <v>4</v>
      </c>
      <c r="B45" s="53" t="s">
        <v>5</v>
      </c>
      <c r="C45" s="53"/>
      <c r="D45" s="53"/>
      <c r="E45" s="53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4" t="s">
        <v>11</v>
      </c>
      <c r="B47" s="54"/>
      <c r="C47" s="54"/>
      <c r="D47" s="54"/>
      <c r="E47" s="54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4" t="s">
        <v>12</v>
      </c>
      <c r="B51" s="54"/>
      <c r="C51" s="54"/>
      <c r="D51" s="54"/>
      <c r="E51" s="54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49" t="s">
        <v>104</v>
      </c>
      <c r="B57" s="50"/>
      <c r="C57" s="51"/>
      <c r="D57" s="52" t="s">
        <v>92</v>
      </c>
      <c r="E57" s="52" t="s">
        <v>91</v>
      </c>
    </row>
    <row r="58" spans="1:8" x14ac:dyDescent="0.25">
      <c r="A58" s="4" t="s">
        <v>4</v>
      </c>
      <c r="B58" s="53" t="s">
        <v>5</v>
      </c>
      <c r="C58" s="53"/>
      <c r="D58" s="53"/>
      <c r="E58" s="53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4" t="s">
        <v>11</v>
      </c>
      <c r="B60" s="54"/>
      <c r="C60" s="54"/>
      <c r="D60" s="54"/>
      <c r="E60" s="54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4" t="s">
        <v>12</v>
      </c>
      <c r="B64" s="54"/>
      <c r="C64" s="54"/>
      <c r="D64" s="54"/>
      <c r="E64" s="54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49" t="s">
        <v>109</v>
      </c>
      <c r="B70" s="50"/>
      <c r="C70" s="51"/>
      <c r="D70" s="52" t="s">
        <v>92</v>
      </c>
      <c r="E70" s="52" t="s">
        <v>91</v>
      </c>
    </row>
    <row r="71" spans="1:5" x14ac:dyDescent="0.25">
      <c r="A71" s="4" t="s">
        <v>4</v>
      </c>
      <c r="B71" s="53" t="s">
        <v>5</v>
      </c>
      <c r="C71" s="53"/>
      <c r="D71" s="53"/>
      <c r="E71" s="53"/>
    </row>
    <row r="72" spans="1:5" x14ac:dyDescent="0.25">
      <c r="A72" s="54" t="s">
        <v>110</v>
      </c>
      <c r="B72" s="54"/>
      <c r="C72" s="54"/>
      <c r="D72" s="54"/>
      <c r="E72" s="54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/>
      <c r="C74" s="10">
        <v>107</v>
      </c>
      <c r="D74" s="10"/>
      <c r="E74" s="10">
        <v>1349</v>
      </c>
    </row>
    <row r="75" spans="1:5" x14ac:dyDescent="0.25">
      <c r="A75" s="3" t="s">
        <v>8</v>
      </c>
      <c r="B75" s="9"/>
      <c r="C75" s="10">
        <v>598</v>
      </c>
      <c r="D75" s="10"/>
      <c r="E75" s="10">
        <v>12676</v>
      </c>
    </row>
    <row r="76" spans="1:5" x14ac:dyDescent="0.25">
      <c r="A76" s="3" t="s">
        <v>9</v>
      </c>
      <c r="B76" s="9"/>
      <c r="C76" s="10">
        <v>720</v>
      </c>
      <c r="D76" s="10"/>
      <c r="E76" s="10">
        <v>14026</v>
      </c>
    </row>
    <row r="77" spans="1:5" x14ac:dyDescent="0.25">
      <c r="A77" s="54" t="s">
        <v>111</v>
      </c>
      <c r="B77" s="54"/>
      <c r="C77" s="54"/>
      <c r="D77" s="54"/>
      <c r="E77" s="54"/>
    </row>
    <row r="78" spans="1:5" x14ac:dyDescent="0.25">
      <c r="A78" s="3" t="s">
        <v>6</v>
      </c>
      <c r="B78" s="48">
        <v>5000</v>
      </c>
      <c r="C78" s="8">
        <v>10000</v>
      </c>
      <c r="D78" s="8">
        <v>15000</v>
      </c>
      <c r="E78" s="8">
        <v>20000</v>
      </c>
    </row>
    <row r="79" spans="1:5" x14ac:dyDescent="0.25">
      <c r="A79" s="3" t="s">
        <v>7</v>
      </c>
      <c r="B79" s="9"/>
      <c r="C79" s="10"/>
      <c r="D79" s="10"/>
      <c r="E79" s="10"/>
    </row>
    <row r="80" spans="1:5" x14ac:dyDescent="0.25">
      <c r="A80" s="3" t="s">
        <v>8</v>
      </c>
      <c r="B80" s="9"/>
      <c r="C80" s="10"/>
      <c r="D80" s="10"/>
      <c r="E80" s="10"/>
    </row>
    <row r="81" spans="1:5" x14ac:dyDescent="0.25">
      <c r="A81" s="3" t="s">
        <v>9</v>
      </c>
      <c r="B81" s="9"/>
      <c r="C81" s="10"/>
      <c r="D81" s="10"/>
      <c r="E81" s="10"/>
    </row>
  </sheetData>
  <mergeCells count="32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A70:C70"/>
    <mergeCell ref="D70:E70"/>
    <mergeCell ref="B71:E71"/>
    <mergeCell ref="A72:E72"/>
    <mergeCell ref="A77:E77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0"/>
  <sheetViews>
    <sheetView tabSelected="1" topLeftCell="A103" zoomScale="90" zoomScaleNormal="90" workbookViewId="0">
      <selection activeCell="B120" sqref="B120:E120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16384" width="9.140625" style="26"/>
  </cols>
  <sheetData>
    <row r="1" spans="1:26" ht="21.6" customHeight="1" x14ac:dyDescent="0.25">
      <c r="A1" s="61" t="s">
        <v>84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52" t="s">
        <v>90</v>
      </c>
      <c r="N1" s="52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6" t="s">
        <v>85</v>
      </c>
      <c r="B2" s="65" t="s">
        <v>78</v>
      </c>
      <c r="C2" s="66"/>
      <c r="D2" s="67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6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6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6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6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6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6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6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6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6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6"/>
      <c r="B12" s="33" t="s">
        <v>86</v>
      </c>
      <c r="C12" s="74" t="s">
        <v>81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5"/>
      <c r="O12" s="39"/>
      <c r="P12" s="23"/>
      <c r="Q12" s="23"/>
    </row>
    <row r="13" spans="1:26" ht="21.6" customHeight="1" x14ac:dyDescent="0.25">
      <c r="A13" s="76" t="s">
        <v>87</v>
      </c>
      <c r="B13" s="65" t="s">
        <v>78</v>
      </c>
      <c r="C13" s="66"/>
      <c r="D13" s="67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6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6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6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6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6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6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6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6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6"/>
      <c r="B22" s="77" t="s">
        <v>86</v>
      </c>
      <c r="C22" s="78" t="s">
        <v>88</v>
      </c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9"/>
      <c r="O22" s="38"/>
    </row>
    <row r="23" spans="1:17" ht="21.6" customHeight="1" x14ac:dyDescent="0.2">
      <c r="A23" s="76"/>
      <c r="B23" s="77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9"/>
      <c r="O23" s="38"/>
    </row>
    <row r="24" spans="1:17" ht="21.6" customHeight="1" x14ac:dyDescent="0.25">
      <c r="A24" s="61" t="s">
        <v>89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52" t="s">
        <v>90</v>
      </c>
      <c r="N24" s="52"/>
      <c r="O24" s="38"/>
    </row>
    <row r="25" spans="1:17" ht="21.6" customHeight="1" x14ac:dyDescent="0.25">
      <c r="A25" s="71" t="s">
        <v>85</v>
      </c>
      <c r="B25" s="65" t="s">
        <v>78</v>
      </c>
      <c r="C25" s="66"/>
      <c r="D25" s="67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72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72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72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72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72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72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72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72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72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72"/>
      <c r="B35" s="65" t="s">
        <v>96</v>
      </c>
      <c r="C35" s="66"/>
      <c r="D35" s="67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72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72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72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72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72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72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72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72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72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72"/>
      <c r="B45" s="65" t="s">
        <v>97</v>
      </c>
      <c r="C45" s="66"/>
      <c r="D45" s="67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72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72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72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72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72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72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72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72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72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72"/>
      <c r="B55" s="46" t="s">
        <v>86</v>
      </c>
      <c r="C55" s="82" t="s">
        <v>102</v>
      </c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</row>
    <row r="56" spans="1:16" ht="21.6" customHeight="1" x14ac:dyDescent="0.25">
      <c r="A56" s="68" t="s">
        <v>103</v>
      </c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70"/>
      <c r="M56" s="52" t="s">
        <v>90</v>
      </c>
      <c r="N56" s="52"/>
      <c r="O56" s="30"/>
    </row>
    <row r="57" spans="1:16" ht="21.6" customHeight="1" x14ac:dyDescent="0.25">
      <c r="A57" s="71" t="s">
        <v>85</v>
      </c>
      <c r="B57" s="65" t="s">
        <v>78</v>
      </c>
      <c r="C57" s="66"/>
      <c r="D57" s="67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72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72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72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72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72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72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72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72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72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72"/>
      <c r="B67" s="65" t="s">
        <v>96</v>
      </c>
      <c r="C67" s="66"/>
      <c r="D67" s="67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72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72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72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72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72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72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72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72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72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72"/>
      <c r="B77" s="65" t="s">
        <v>97</v>
      </c>
      <c r="C77" s="66"/>
      <c r="D77" s="67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72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72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72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72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72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72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72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72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72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72"/>
      <c r="B87" s="46" t="s">
        <v>86</v>
      </c>
      <c r="C87" s="83" t="s">
        <v>106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5"/>
    </row>
    <row r="88" spans="1:20" ht="21.6" customHeight="1" x14ac:dyDescent="0.3">
      <c r="A88" s="49" t="s">
        <v>107</v>
      </c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86" t="s">
        <v>113</v>
      </c>
      <c r="P88" s="87"/>
      <c r="Q88" s="87"/>
      <c r="R88" s="87"/>
      <c r="S88" s="87"/>
      <c r="T88" s="88"/>
    </row>
    <row r="89" spans="1:20" ht="21.6" customHeight="1" x14ac:dyDescent="0.25">
      <c r="A89" s="76" t="s">
        <v>85</v>
      </c>
      <c r="B89" s="65" t="s">
        <v>78</v>
      </c>
      <c r="C89" s="66"/>
      <c r="D89" s="66"/>
      <c r="E89" s="67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76"/>
      <c r="B90" s="42" t="s">
        <v>77</v>
      </c>
      <c r="C90" s="25" t="s">
        <v>80</v>
      </c>
      <c r="D90" s="25" t="s">
        <v>79</v>
      </c>
      <c r="E90" s="25" t="s">
        <v>112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76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76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76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76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76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76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76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76"/>
      <c r="B98" s="15">
        <v>16</v>
      </c>
      <c r="C98" s="40">
        <v>598</v>
      </c>
      <c r="D98" s="24">
        <v>1895</v>
      </c>
      <c r="E98" s="24">
        <v>12676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76"/>
      <c r="B99" s="65" t="s">
        <v>96</v>
      </c>
      <c r="C99" s="66"/>
      <c r="D99" s="66"/>
      <c r="E99" s="67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76"/>
      <c r="B100" s="42" t="s">
        <v>77</v>
      </c>
      <c r="C100" s="25" t="s">
        <v>80</v>
      </c>
      <c r="D100" s="25" t="s">
        <v>79</v>
      </c>
      <c r="E100" s="25" t="s">
        <v>112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76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76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76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76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76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76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76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76"/>
      <c r="B108" s="42">
        <v>16</v>
      </c>
      <c r="C108" s="40">
        <f>ROUND(C91/C98,5)</f>
        <v>3.4933100000000001</v>
      </c>
      <c r="D108" s="40">
        <f>ROUND(D91/D98,5)</f>
        <v>4.8997400000000004</v>
      </c>
      <c r="E108" s="40">
        <f>ROUND(E91/E98,5)</f>
        <v>5.5549099999999996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76"/>
      <c r="B109" s="65" t="s">
        <v>97</v>
      </c>
      <c r="C109" s="66"/>
      <c r="D109" s="66"/>
      <c r="E109" s="67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76"/>
      <c r="B110" s="42" t="s">
        <v>77</v>
      </c>
      <c r="C110" s="25" t="s">
        <v>80</v>
      </c>
      <c r="D110" s="25" t="s">
        <v>79</v>
      </c>
      <c r="E110" s="25" t="s">
        <v>112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76"/>
      <c r="B111" s="42">
        <v>1</v>
      </c>
      <c r="C111" s="40">
        <f>ROUND(C101/$B101,5)</f>
        <v>1</v>
      </c>
      <c r="D111" s="40">
        <f>ROUND(D101/B101,5)</f>
        <v>1</v>
      </c>
      <c r="E111" s="40">
        <f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76"/>
      <c r="B112" s="42">
        <v>2</v>
      </c>
      <c r="C112" s="40">
        <f>ROUND(C102/$B102,5)</f>
        <v>0.84987999999999997</v>
      </c>
      <c r="D112" s="40">
        <f>ROUND(D102/B102,5)</f>
        <v>0.92278000000000004</v>
      </c>
      <c r="E112" s="40">
        <f>ROUND(E102/$B102,5)</f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0" ht="21.6" customHeight="1" x14ac:dyDescent="0.25">
      <c r="A113" s="76"/>
      <c r="B113" s="42">
        <v>4</v>
      </c>
      <c r="C113" s="40">
        <f>ROUND(C103/$B103,5)</f>
        <v>0.61082000000000003</v>
      </c>
      <c r="D113" s="40">
        <f>ROUND(D103/B103,5)</f>
        <v>0.90251000000000003</v>
      </c>
      <c r="E113" s="40">
        <f>ROUND(E103/$B103,5)</f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0" ht="21.6" customHeight="1" x14ac:dyDescent="0.25">
      <c r="A114" s="76"/>
      <c r="B114" s="42">
        <v>6</v>
      </c>
      <c r="C114" s="40">
        <f>ROUND(C104/$B104,5)</f>
        <v>0.53564000000000001</v>
      </c>
      <c r="D114" s="40">
        <f>ROUND(D104/B104,5)</f>
        <v>0.67223999999999995</v>
      </c>
      <c r="E114" s="40">
        <f>ROUND(E104/$B104,5)</f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0" ht="21.6" customHeight="1" x14ac:dyDescent="0.25">
      <c r="A115" s="76"/>
      <c r="B115" s="42">
        <v>8</v>
      </c>
      <c r="C115" s="40">
        <f>ROUND(C105/$B105,5)</f>
        <v>0.41647000000000001</v>
      </c>
      <c r="D115" s="40">
        <f>ROUND(D105/B105,5)</f>
        <v>0.55611999999999995</v>
      </c>
      <c r="E115" s="40">
        <f>ROUND(E105/$B105,5)</f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0" ht="21.6" customHeight="1" x14ac:dyDescent="0.25">
      <c r="A116" s="76"/>
      <c r="B116" s="42">
        <v>10</v>
      </c>
      <c r="C116" s="40">
        <f>ROUND(C106/$B106,5)</f>
        <v>0.33856999999999998</v>
      </c>
      <c r="D116" s="40">
        <f>ROUND(D106/B106,5)</f>
        <v>0.46194000000000002</v>
      </c>
      <c r="E116" s="40">
        <f>ROUND(E106/$B106,5)</f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0" ht="21.6" customHeight="1" x14ac:dyDescent="0.25">
      <c r="A117" s="76"/>
      <c r="B117" s="42">
        <v>12</v>
      </c>
      <c r="C117" s="40">
        <f>ROUND(C107/$B107,5)</f>
        <v>0.29110999999999998</v>
      </c>
      <c r="D117" s="40">
        <f>ROUND(D107/B107,5)</f>
        <v>0.39256999999999997</v>
      </c>
      <c r="E117" s="40">
        <f>ROUND(E107/$B107,5)</f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0" ht="21.6" customHeight="1" x14ac:dyDescent="0.25">
      <c r="A118" s="76"/>
      <c r="B118" s="42">
        <v>16</v>
      </c>
      <c r="C118" s="40">
        <f>ROUND(C108/$B108,5)</f>
        <v>0.21833</v>
      </c>
      <c r="D118" s="40">
        <f>ROUND(D108/B108,5)</f>
        <v>0.30623</v>
      </c>
      <c r="E118" s="40">
        <f>ROUND(E108/$B108,5)</f>
        <v>0.34717999999999999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0" ht="21.6" customHeight="1" x14ac:dyDescent="0.25">
      <c r="A119" s="76"/>
      <c r="B119" s="33" t="s">
        <v>86</v>
      </c>
      <c r="C119" s="75" t="s">
        <v>114</v>
      </c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1"/>
    </row>
    <row r="120" spans="1:20" ht="21.6" customHeight="1" x14ac:dyDescent="0.25">
      <c r="A120" s="71" t="s">
        <v>108</v>
      </c>
      <c r="B120" s="65" t="s">
        <v>78</v>
      </c>
      <c r="C120" s="66"/>
      <c r="D120" s="66"/>
      <c r="E120" s="67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</row>
    <row r="121" spans="1:20" ht="21.6" customHeight="1" x14ac:dyDescent="0.25">
      <c r="A121" s="72"/>
      <c r="B121" s="42" t="s">
        <v>77</v>
      </c>
      <c r="C121" s="25" t="s">
        <v>80</v>
      </c>
      <c r="D121" s="25" t="s">
        <v>79</v>
      </c>
      <c r="E121" s="25" t="s">
        <v>112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</row>
    <row r="122" spans="1:20" ht="21.6" customHeight="1" x14ac:dyDescent="0.25">
      <c r="A122" s="72"/>
      <c r="B122" s="15">
        <v>1</v>
      </c>
      <c r="C122" s="40"/>
      <c r="D122" s="24"/>
      <c r="E122" s="24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</row>
    <row r="123" spans="1:20" ht="21.6" customHeight="1" x14ac:dyDescent="0.25">
      <c r="A123" s="72"/>
      <c r="B123" s="15">
        <v>2</v>
      </c>
      <c r="C123" s="40"/>
      <c r="D123" s="24"/>
      <c r="E123" s="24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</row>
    <row r="124" spans="1:20" ht="21.6" customHeight="1" x14ac:dyDescent="0.25">
      <c r="A124" s="72"/>
      <c r="B124" s="15">
        <v>4</v>
      </c>
      <c r="C124" s="40"/>
      <c r="D124" s="24"/>
      <c r="E124" s="24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</row>
    <row r="125" spans="1:20" ht="21.6" customHeight="1" x14ac:dyDescent="0.25">
      <c r="A125" s="72"/>
      <c r="B125" s="15">
        <v>6</v>
      </c>
      <c r="C125" s="40"/>
      <c r="D125" s="24"/>
      <c r="E125" s="24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</row>
    <row r="126" spans="1:20" ht="21.6" customHeight="1" x14ac:dyDescent="0.25">
      <c r="A126" s="72"/>
      <c r="B126" s="15">
        <v>8</v>
      </c>
      <c r="C126" s="40"/>
      <c r="D126" s="24"/>
      <c r="E126" s="24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</row>
    <row r="127" spans="1:20" ht="21.6" customHeight="1" x14ac:dyDescent="0.25">
      <c r="A127" s="72"/>
      <c r="B127" s="15">
        <v>10</v>
      </c>
      <c r="C127" s="40"/>
      <c r="D127" s="24"/>
      <c r="E127" s="24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</row>
    <row r="128" spans="1:20" ht="21.6" customHeight="1" x14ac:dyDescent="0.25">
      <c r="A128" s="72"/>
      <c r="B128" s="15">
        <v>12</v>
      </c>
      <c r="C128" s="40"/>
      <c r="D128" s="24"/>
      <c r="E128" s="24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</row>
    <row r="129" spans="1:20" ht="21.6" customHeight="1" x14ac:dyDescent="0.25">
      <c r="A129" s="72"/>
      <c r="B129" s="15">
        <v>16</v>
      </c>
      <c r="C129" s="40"/>
      <c r="D129" s="24"/>
      <c r="E129" s="24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</row>
    <row r="130" spans="1:20" ht="21.6" customHeight="1" x14ac:dyDescent="0.25">
      <c r="A130" s="72"/>
      <c r="B130" s="65" t="s">
        <v>96</v>
      </c>
      <c r="C130" s="66"/>
      <c r="D130" s="66"/>
      <c r="E130" s="67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</row>
    <row r="131" spans="1:20" ht="21.6" customHeight="1" x14ac:dyDescent="0.25">
      <c r="A131" s="72"/>
      <c r="B131" s="42" t="s">
        <v>77</v>
      </c>
      <c r="C131" s="25" t="s">
        <v>80</v>
      </c>
      <c r="D131" s="25" t="s">
        <v>79</v>
      </c>
      <c r="E131" s="25" t="s">
        <v>112</v>
      </c>
      <c r="F131" s="43"/>
      <c r="G131" s="43"/>
      <c r="H131" s="16"/>
      <c r="I131" s="16"/>
      <c r="J131" s="16"/>
      <c r="K131" s="16"/>
      <c r="L131" s="16"/>
      <c r="M131" s="16"/>
      <c r="N131" s="16"/>
      <c r="O131" s="43"/>
      <c r="P131" s="43"/>
      <c r="Q131" s="43"/>
      <c r="R131" s="16"/>
      <c r="S131" s="16"/>
      <c r="T131" s="16"/>
    </row>
    <row r="132" spans="1:20" ht="21.6" customHeight="1" x14ac:dyDescent="0.25">
      <c r="A132" s="72"/>
      <c r="B132" s="42">
        <v>1</v>
      </c>
      <c r="C132" s="40" t="e">
        <f>C122/C122</f>
        <v>#DIV/0!</v>
      </c>
      <c r="D132" s="40" t="e">
        <f>D122/D122</f>
        <v>#DIV/0!</v>
      </c>
      <c r="E132" s="40" t="e">
        <f>E122/E122</f>
        <v>#DIV/0!</v>
      </c>
      <c r="F132" s="43"/>
      <c r="G132" s="43"/>
      <c r="H132" s="16"/>
      <c r="I132" s="16"/>
      <c r="J132" s="16"/>
      <c r="K132" s="16"/>
      <c r="L132" s="16"/>
      <c r="M132" s="16"/>
      <c r="N132" s="16"/>
      <c r="O132" s="43"/>
      <c r="P132" s="43"/>
      <c r="Q132" s="43"/>
      <c r="R132" s="16"/>
      <c r="S132" s="16"/>
      <c r="T132" s="16"/>
    </row>
    <row r="133" spans="1:20" ht="21.6" customHeight="1" x14ac:dyDescent="0.25">
      <c r="A133" s="72"/>
      <c r="B133" s="42">
        <v>2</v>
      </c>
      <c r="C133" s="40" t="e">
        <f>C122/C123</f>
        <v>#DIV/0!</v>
      </c>
      <c r="D133" s="40" t="e">
        <f>D122/D123</f>
        <v>#DIV/0!</v>
      </c>
      <c r="E133" s="40" t="e">
        <f>E122/E123</f>
        <v>#DIV/0!</v>
      </c>
      <c r="F133" s="43"/>
      <c r="G133" s="43"/>
      <c r="H133" s="16"/>
      <c r="I133" s="16"/>
      <c r="J133" s="16"/>
      <c r="K133" s="16"/>
      <c r="L133" s="16"/>
      <c r="M133" s="16"/>
      <c r="N133" s="16"/>
      <c r="O133" s="43"/>
      <c r="P133" s="43"/>
      <c r="Q133" s="43"/>
      <c r="R133" s="16"/>
      <c r="S133" s="16"/>
      <c r="T133" s="16"/>
    </row>
    <row r="134" spans="1:20" ht="21.6" customHeight="1" x14ac:dyDescent="0.25">
      <c r="A134" s="72"/>
      <c r="B134" s="42">
        <v>4</v>
      </c>
      <c r="C134" s="40" t="e">
        <f>C122/C124</f>
        <v>#DIV/0!</v>
      </c>
      <c r="D134" s="40" t="e">
        <f>D122/D124</f>
        <v>#DIV/0!</v>
      </c>
      <c r="E134" s="40" t="e">
        <f>E122/E124</f>
        <v>#DIV/0!</v>
      </c>
      <c r="F134" s="43"/>
      <c r="G134" s="43"/>
      <c r="H134" s="16"/>
      <c r="I134" s="16"/>
      <c r="J134" s="16"/>
      <c r="K134" s="16"/>
      <c r="L134" s="16"/>
      <c r="M134" s="16"/>
      <c r="N134" s="16"/>
      <c r="O134" s="43"/>
      <c r="P134" s="43"/>
      <c r="Q134" s="43"/>
      <c r="R134" s="16"/>
      <c r="S134" s="16"/>
      <c r="T134" s="16"/>
    </row>
    <row r="135" spans="1:20" ht="21.6" customHeight="1" x14ac:dyDescent="0.25">
      <c r="A135" s="72"/>
      <c r="B135" s="42">
        <v>6</v>
      </c>
      <c r="C135" s="40" t="e">
        <f>C122/C125</f>
        <v>#DIV/0!</v>
      </c>
      <c r="D135" s="40" t="e">
        <f>D122/D125</f>
        <v>#DIV/0!</v>
      </c>
      <c r="E135" s="40" t="e">
        <f>E122/E125</f>
        <v>#DIV/0!</v>
      </c>
      <c r="F135" s="43"/>
      <c r="G135" s="43"/>
      <c r="H135" s="16"/>
      <c r="I135" s="16"/>
      <c r="J135" s="16"/>
      <c r="K135" s="16"/>
      <c r="L135" s="16"/>
      <c r="M135" s="16"/>
      <c r="N135" s="16"/>
      <c r="O135" s="43"/>
      <c r="P135" s="43"/>
      <c r="Q135" s="43"/>
      <c r="R135" s="16"/>
      <c r="S135" s="16"/>
      <c r="T135" s="16"/>
    </row>
    <row r="136" spans="1:20" ht="21.6" customHeight="1" x14ac:dyDescent="0.25">
      <c r="A136" s="72"/>
      <c r="B136" s="42">
        <v>8</v>
      </c>
      <c r="C136" s="40" t="e">
        <f>C122/C126</f>
        <v>#DIV/0!</v>
      </c>
      <c r="D136" s="40" t="e">
        <f>D122/D126</f>
        <v>#DIV/0!</v>
      </c>
      <c r="E136" s="40" t="e">
        <f>E122/E126</f>
        <v>#DIV/0!</v>
      </c>
      <c r="F136" s="43"/>
      <c r="G136" s="43"/>
      <c r="H136" s="16"/>
      <c r="I136" s="16"/>
      <c r="J136" s="16"/>
      <c r="K136" s="16"/>
      <c r="L136" s="16"/>
      <c r="M136" s="16"/>
      <c r="N136" s="16"/>
      <c r="O136" s="43"/>
      <c r="P136" s="43"/>
      <c r="Q136" s="43"/>
      <c r="R136" s="16"/>
      <c r="S136" s="16"/>
      <c r="T136" s="16"/>
    </row>
    <row r="137" spans="1:20" ht="21.6" customHeight="1" x14ac:dyDescent="0.25">
      <c r="A137" s="72"/>
      <c r="B137" s="42">
        <v>10</v>
      </c>
      <c r="C137" s="40" t="e">
        <f>C122/C127</f>
        <v>#DIV/0!</v>
      </c>
      <c r="D137" s="40" t="e">
        <f>D122/D127</f>
        <v>#DIV/0!</v>
      </c>
      <c r="E137" s="40" t="e">
        <f>E122/E127</f>
        <v>#DIV/0!</v>
      </c>
      <c r="F137" s="43"/>
      <c r="G137" s="43"/>
      <c r="H137" s="16"/>
      <c r="I137" s="16"/>
      <c r="J137" s="16"/>
      <c r="K137" s="16"/>
      <c r="L137" s="16"/>
      <c r="M137" s="16"/>
      <c r="N137" s="16"/>
      <c r="O137" s="43"/>
      <c r="P137" s="43"/>
      <c r="Q137" s="43"/>
      <c r="R137" s="16"/>
      <c r="S137" s="16"/>
      <c r="T137" s="16"/>
    </row>
    <row r="138" spans="1:20" ht="21.6" customHeight="1" x14ac:dyDescent="0.25">
      <c r="A138" s="72"/>
      <c r="B138" s="42">
        <v>12</v>
      </c>
      <c r="C138" s="40" t="e">
        <f>C122/C128</f>
        <v>#DIV/0!</v>
      </c>
      <c r="D138" s="40" t="e">
        <f>D122/D128</f>
        <v>#DIV/0!</v>
      </c>
      <c r="E138" s="40" t="e">
        <f>E122/E128</f>
        <v>#DIV/0!</v>
      </c>
      <c r="F138" s="43"/>
      <c r="G138" s="43"/>
      <c r="H138" s="16"/>
      <c r="I138" s="16"/>
      <c r="J138" s="16"/>
      <c r="K138" s="16"/>
      <c r="L138" s="16"/>
      <c r="M138" s="16"/>
      <c r="N138" s="16"/>
      <c r="O138" s="43"/>
      <c r="P138" s="43"/>
      <c r="Q138" s="43"/>
      <c r="R138" s="16"/>
      <c r="S138" s="16"/>
      <c r="T138" s="16"/>
    </row>
    <row r="139" spans="1:20" ht="21.6" customHeight="1" x14ac:dyDescent="0.25">
      <c r="A139" s="72"/>
      <c r="B139" s="42">
        <v>16</v>
      </c>
      <c r="C139" s="40" t="e">
        <f>C122/C129</f>
        <v>#DIV/0!</v>
      </c>
      <c r="D139" s="40" t="e">
        <f>D122/D129</f>
        <v>#DIV/0!</v>
      </c>
      <c r="E139" s="40" t="e">
        <f>E122/E129</f>
        <v>#DIV/0!</v>
      </c>
      <c r="F139" s="43"/>
      <c r="G139" s="43"/>
      <c r="H139" s="16"/>
      <c r="I139" s="16"/>
      <c r="J139" s="16"/>
      <c r="K139" s="16"/>
      <c r="L139" s="16"/>
      <c r="M139" s="16"/>
      <c r="N139" s="16"/>
      <c r="O139" s="43"/>
      <c r="P139" s="43"/>
      <c r="Q139" s="43"/>
      <c r="R139" s="16"/>
      <c r="S139" s="16"/>
      <c r="T139" s="16"/>
    </row>
    <row r="140" spans="1:20" ht="21.6" customHeight="1" x14ac:dyDescent="0.25">
      <c r="A140" s="72"/>
      <c r="B140" s="65" t="s">
        <v>97</v>
      </c>
      <c r="C140" s="66"/>
      <c r="D140" s="66"/>
      <c r="E140" s="67"/>
      <c r="F140" s="43"/>
      <c r="G140" s="43"/>
      <c r="H140" s="16"/>
      <c r="I140" s="16"/>
      <c r="J140" s="16"/>
      <c r="K140" s="16"/>
      <c r="L140" s="16"/>
      <c r="M140" s="16"/>
      <c r="N140" s="16"/>
      <c r="O140" s="43"/>
      <c r="P140" s="43"/>
      <c r="Q140" s="43"/>
      <c r="R140" s="16"/>
      <c r="S140" s="16"/>
      <c r="T140" s="16"/>
    </row>
    <row r="141" spans="1:20" ht="21.6" customHeight="1" x14ac:dyDescent="0.25">
      <c r="A141" s="72"/>
      <c r="B141" s="42" t="s">
        <v>77</v>
      </c>
      <c r="C141" s="25" t="s">
        <v>80</v>
      </c>
      <c r="D141" s="25" t="s">
        <v>79</v>
      </c>
      <c r="E141" s="25" t="s">
        <v>112</v>
      </c>
      <c r="F141" s="43"/>
      <c r="G141" s="43"/>
      <c r="H141" s="16"/>
      <c r="I141" s="16"/>
      <c r="J141" s="16"/>
      <c r="K141" s="16"/>
      <c r="L141" s="16"/>
      <c r="M141" s="16"/>
      <c r="N141" s="16"/>
      <c r="O141" s="43"/>
      <c r="P141" s="43"/>
      <c r="Q141" s="43"/>
      <c r="R141" s="16"/>
      <c r="S141" s="16"/>
      <c r="T141" s="16"/>
    </row>
    <row r="142" spans="1:20" ht="21.6" customHeight="1" x14ac:dyDescent="0.25">
      <c r="A142" s="72"/>
      <c r="B142" s="42">
        <v>1</v>
      </c>
      <c r="C142" s="40" t="e">
        <f>C132/B132</f>
        <v>#DIV/0!</v>
      </c>
      <c r="D142" s="40" t="e">
        <f>D132/$B132</f>
        <v>#DIV/0!</v>
      </c>
      <c r="E142" s="40" t="e">
        <f>E132/$B132</f>
        <v>#DIV/0!</v>
      </c>
      <c r="F142" s="43"/>
      <c r="G142" s="43"/>
      <c r="H142" s="16"/>
      <c r="I142" s="16"/>
      <c r="J142" s="16"/>
      <c r="K142" s="16"/>
      <c r="L142" s="16"/>
      <c r="M142" s="16"/>
      <c r="N142" s="16"/>
      <c r="O142" s="43"/>
      <c r="P142" s="43"/>
      <c r="Q142" s="43"/>
      <c r="R142" s="16"/>
      <c r="S142" s="16"/>
      <c r="T142" s="16"/>
    </row>
    <row r="143" spans="1:20" ht="21.6" customHeight="1" x14ac:dyDescent="0.25">
      <c r="A143" s="72"/>
      <c r="B143" s="42">
        <v>2</v>
      </c>
      <c r="C143" s="40" t="e">
        <f>C133/B133</f>
        <v>#DIV/0!</v>
      </c>
      <c r="D143" s="40" t="e">
        <f>D133/$B133</f>
        <v>#DIV/0!</v>
      </c>
      <c r="E143" s="40" t="e">
        <f>E133/$B133</f>
        <v>#DIV/0!</v>
      </c>
      <c r="F143" s="43"/>
      <c r="G143" s="43"/>
      <c r="H143" s="16"/>
      <c r="I143" s="16"/>
      <c r="J143" s="16"/>
      <c r="K143" s="16"/>
      <c r="L143" s="16"/>
      <c r="M143" s="16"/>
      <c r="N143" s="16"/>
      <c r="O143" s="43"/>
      <c r="P143" s="43"/>
      <c r="Q143" s="43"/>
      <c r="R143" s="16"/>
      <c r="S143" s="16"/>
      <c r="T143" s="16"/>
    </row>
    <row r="144" spans="1:20" ht="21.6" customHeight="1" x14ac:dyDescent="0.25">
      <c r="A144" s="72"/>
      <c r="B144" s="42">
        <v>4</v>
      </c>
      <c r="C144" s="40" t="e">
        <f>C134/B134</f>
        <v>#DIV/0!</v>
      </c>
      <c r="D144" s="40" t="e">
        <f>D134/$B134</f>
        <v>#DIV/0!</v>
      </c>
      <c r="E144" s="40" t="e">
        <f>E134/$B134</f>
        <v>#DIV/0!</v>
      </c>
      <c r="F144" s="43"/>
      <c r="G144" s="43"/>
      <c r="H144" s="16"/>
      <c r="I144" s="16"/>
      <c r="J144" s="16"/>
      <c r="K144" s="16"/>
      <c r="L144" s="16"/>
      <c r="M144" s="16"/>
      <c r="N144" s="16"/>
      <c r="O144" s="43"/>
      <c r="P144" s="43"/>
      <c r="Q144" s="43"/>
      <c r="R144" s="16"/>
      <c r="S144" s="16"/>
      <c r="T144" s="16"/>
    </row>
    <row r="145" spans="1:20" ht="21.6" customHeight="1" x14ac:dyDescent="0.25">
      <c r="A145" s="72"/>
      <c r="B145" s="42">
        <v>6</v>
      </c>
      <c r="C145" s="40" t="e">
        <f>C135/B135</f>
        <v>#DIV/0!</v>
      </c>
      <c r="D145" s="40" t="e">
        <f>D135/$B135</f>
        <v>#DIV/0!</v>
      </c>
      <c r="E145" s="40" t="e">
        <f>E135/$B135</f>
        <v>#DIV/0!</v>
      </c>
      <c r="F145" s="43"/>
      <c r="G145" s="43"/>
      <c r="H145" s="16"/>
      <c r="I145" s="16"/>
      <c r="J145" s="16"/>
      <c r="K145" s="16"/>
      <c r="L145" s="16"/>
      <c r="M145" s="16"/>
      <c r="N145" s="16"/>
      <c r="O145" s="43"/>
      <c r="P145" s="43"/>
      <c r="Q145" s="43"/>
      <c r="R145" s="16"/>
      <c r="S145" s="16"/>
      <c r="T145" s="16"/>
    </row>
    <row r="146" spans="1:20" ht="21.6" customHeight="1" x14ac:dyDescent="0.25">
      <c r="A146" s="72"/>
      <c r="B146" s="42">
        <v>8</v>
      </c>
      <c r="C146" s="40" t="e">
        <f>C136/B136</f>
        <v>#DIV/0!</v>
      </c>
      <c r="D146" s="40" t="e">
        <f>D136/$B136</f>
        <v>#DIV/0!</v>
      </c>
      <c r="E146" s="40" t="e">
        <f>E136/$B136</f>
        <v>#DIV/0!</v>
      </c>
      <c r="F146" s="43"/>
      <c r="G146" s="43"/>
      <c r="H146" s="16"/>
      <c r="I146" s="16"/>
      <c r="J146" s="16"/>
      <c r="K146" s="16"/>
      <c r="L146" s="16"/>
      <c r="M146" s="16"/>
      <c r="N146" s="16"/>
      <c r="O146" s="43"/>
      <c r="P146" s="43"/>
      <c r="Q146" s="43"/>
      <c r="R146" s="16"/>
      <c r="S146" s="16"/>
      <c r="T146" s="16"/>
    </row>
    <row r="147" spans="1:20" ht="21.6" customHeight="1" x14ac:dyDescent="0.25">
      <c r="A147" s="72"/>
      <c r="B147" s="42">
        <v>10</v>
      </c>
      <c r="C147" s="40" t="e">
        <f>C137/B137</f>
        <v>#DIV/0!</v>
      </c>
      <c r="D147" s="40" t="e">
        <f>D137/$B137</f>
        <v>#DIV/0!</v>
      </c>
      <c r="E147" s="40" t="e">
        <f>E137/$B137</f>
        <v>#DIV/0!</v>
      </c>
      <c r="F147" s="43"/>
      <c r="G147" s="43"/>
      <c r="H147" s="16"/>
      <c r="I147" s="16"/>
      <c r="J147" s="16"/>
      <c r="K147" s="16"/>
      <c r="L147" s="16"/>
      <c r="M147" s="16"/>
      <c r="N147" s="16"/>
      <c r="O147" s="43"/>
      <c r="P147" s="43"/>
      <c r="Q147" s="43"/>
      <c r="R147" s="16"/>
      <c r="S147" s="16"/>
      <c r="T147" s="16"/>
    </row>
    <row r="148" spans="1:20" ht="21.6" customHeight="1" x14ac:dyDescent="0.25">
      <c r="A148" s="72"/>
      <c r="B148" s="42">
        <v>12</v>
      </c>
      <c r="C148" s="40" t="e">
        <f>C138/B138</f>
        <v>#DIV/0!</v>
      </c>
      <c r="D148" s="40" t="e">
        <f>D138/$B138</f>
        <v>#DIV/0!</v>
      </c>
      <c r="E148" s="40" t="e">
        <f>E138/$B138</f>
        <v>#DIV/0!</v>
      </c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</row>
    <row r="149" spans="1:20" ht="21.6" customHeight="1" x14ac:dyDescent="0.25">
      <c r="A149" s="72"/>
      <c r="B149" s="42">
        <v>16</v>
      </c>
      <c r="C149" s="40" t="e">
        <f>C139/B139</f>
        <v>#DIV/0!</v>
      </c>
      <c r="D149" s="40" t="e">
        <f>D139/$B139</f>
        <v>#DIV/0!</v>
      </c>
      <c r="E149" s="40" t="e">
        <f>E139/$B139</f>
        <v>#DIV/0!</v>
      </c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</row>
    <row r="150" spans="1:20" ht="21.6" customHeight="1" x14ac:dyDescent="0.25">
      <c r="A150" s="73"/>
      <c r="B150" s="33" t="s">
        <v>86</v>
      </c>
      <c r="C150" s="62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4"/>
    </row>
  </sheetData>
  <mergeCells count="35"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A120:A150"/>
    <mergeCell ref="A89:A119"/>
    <mergeCell ref="C119:T119"/>
    <mergeCell ref="B89:E89"/>
    <mergeCell ref="B99:E99"/>
    <mergeCell ref="B109:E109"/>
    <mergeCell ref="B140:E140"/>
    <mergeCell ref="B130:E130"/>
    <mergeCell ref="B120:E120"/>
    <mergeCell ref="C150:T150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4"/>
  <sheetViews>
    <sheetView workbookViewId="0">
      <selection activeCell="M10" sqref="M10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2026-03-04T21:18:05Z</dcterms:modified>
</cp:coreProperties>
</file>
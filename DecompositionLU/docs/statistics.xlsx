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44D20E5D-BB34-45CD-A2A5-B3661625034B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9" i="2" l="1"/>
  <c r="E147" i="2"/>
  <c r="E161" i="2" s="1"/>
  <c r="C144" i="2"/>
  <c r="C158" i="2" s="1"/>
  <c r="D144" i="2"/>
  <c r="D158" i="2" s="1"/>
  <c r="E144" i="2"/>
  <c r="E158" i="2" s="1"/>
  <c r="C145" i="2"/>
  <c r="C159" i="2" s="1"/>
  <c r="D145" i="2"/>
  <c r="E145" i="2"/>
  <c r="E159" i="2" s="1"/>
  <c r="C146" i="2"/>
  <c r="C160" i="2" s="1"/>
  <c r="D146" i="2"/>
  <c r="D160" i="2" s="1"/>
  <c r="E146" i="2"/>
  <c r="E160" i="2" s="1"/>
  <c r="C147" i="2"/>
  <c r="C161" i="2" s="1"/>
  <c r="D147" i="2"/>
  <c r="D161" i="2" s="1"/>
  <c r="E143" i="2"/>
  <c r="D143" i="2"/>
  <c r="C143" i="2"/>
  <c r="C157" i="2" s="1"/>
  <c r="C142" i="2"/>
  <c r="C156" i="2" s="1"/>
  <c r="E136" i="2" l="1"/>
  <c r="E150" i="2" s="1"/>
  <c r="E137" i="2"/>
  <c r="E151" i="2" s="1"/>
  <c r="E138" i="2"/>
  <c r="E152" i="2" s="1"/>
  <c r="E139" i="2"/>
  <c r="E153" i="2" s="1"/>
  <c r="E140" i="2"/>
  <c r="E154" i="2" s="1"/>
  <c r="E141" i="2"/>
  <c r="E155" i="2" s="1"/>
  <c r="E142" i="2"/>
  <c r="E156" i="2" s="1"/>
  <c r="E157" i="2"/>
  <c r="D138" i="2"/>
  <c r="D152" i="2" s="1"/>
  <c r="E101" i="2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06" i="2"/>
  <c r="C116" i="2" s="1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D157" i="2" l="1"/>
  <c r="D142" i="2"/>
  <c r="D156" i="2" s="1"/>
  <c r="C141" i="2"/>
  <c r="C155" i="2" s="1"/>
  <c r="D141" i="2"/>
  <c r="D155" i="2" s="1"/>
  <c r="C140" i="2"/>
  <c r="C154" i="2" s="1"/>
  <c r="D140" i="2"/>
  <c r="D154" i="2" s="1"/>
  <c r="C139" i="2"/>
  <c r="C153" i="2" s="1"/>
  <c r="D139" i="2"/>
  <c r="D153" i="2" s="1"/>
  <c r="C138" i="2"/>
  <c r="C152" i="2" s="1"/>
  <c r="C137" i="2"/>
  <c r="C151" i="2" s="1"/>
  <c r="D137" i="2"/>
  <c r="D151" i="2" s="1"/>
  <c r="C136" i="2"/>
  <c r="C150" i="2" s="1"/>
  <c r="D136" i="2"/>
  <c r="D150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<sst xmlns="http://schemas.openxmlformats.org/spreadsheetml/2006/main" count="252" uniqueCount="124">
  <si>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</si>
  <si>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</si>
  <si>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</si>
  <si>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</si>
  <si>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</si>
  <si>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</si>
  <si>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</si>
  <si>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</si>
  <si>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</si>
  <si>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</si>
  <si>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</si>
  <si>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</si>
  <si>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</si>
  <si>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</si>
  <si>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</si>
  <si>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</si>
  <si>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</si>
  <si>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</si>
  <si>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</si>
  <si>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</si>
  <si>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</si>
  <si>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</si>
  <si>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</si>
  <si>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</si>
  <si>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</si>
  <si>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</si>
  <si>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</si>
  <si>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</si>
  <si>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</si>
  <si>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</si>
  <si>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</si>
  <si>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</si>
  <si>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</si>
  <si>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</si>
  <si>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</si>
  <si>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</si>
  <si>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</si>
  <si>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</si>
  <si>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</si>
  <si>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</si>
  <si>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</si>
  <si>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</si>
  <si>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</si>
  <si>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</si>
  <si>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</si>
  <si>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</si>
  <si>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</si>
  <si>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</si>
  <si>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</si>
  <si>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</si>
  <si>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</si>
  <si>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</si>
  <si>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</si>
  <si>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</si>
  <si>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</si>
  <si>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</si>
  <si>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</si>
  <si>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</si>
  <si>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</si>
  <si>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</si>
  <si>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</si>
  <si>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</si>
  <si>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</si>
  <si>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</si>
  <si>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</si>
  <si>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</si>
  <si>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</si>
  <si>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</si>
  <si>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</si>
  <si>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</si>
  <si>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</si>
  <si>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</si>
  <si>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</si>
  <si>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</si>
  <si>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</si>
  <si>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</si>
  <si>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</si>
  <si>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</si>
  <si>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</si>
  <si>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</si>
  <si>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</si>
  <si>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</si>
  <si>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</si>
  <si>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</si>
  <si>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</si>
  <si>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</si>
  <si>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</si>
  <si>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</si>
  <si>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</si>
  <si>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</si>
  <si>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</si>
  <si>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</si>
  <si>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</si>
  <si>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</si>
  <si>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</si>
  <si>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</si>
  <si>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</si>
  <si>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</si>
  <si>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</si>
  <si>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</si>
  <si>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</si>
  <si>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</si>
  <si>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</si>
  <si>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</si>
  <si>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</si>
  <si>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</si>
  <si>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</si>
  <si>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</si>
  <si>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Замеры на кластере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</si>
  <si>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</si>
  <si>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</si>
  <si>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</si>
  <si>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</si>
  <si>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</si>
  <si>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</si>
  <si>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окак</t>
  </si>
  <si>
    <t>Про кластер:</t>
  </si>
  <si>
    <t>[simonov_m@master build]$ lscpu | grep -E "^(CPU\(s\)|Core\(s\) per socket|Socket\(s\)|NUMA)"</t>
  </si>
  <si>
    <t>CPU(s):                8</t>
  </si>
  <si>
    <t>Core(s) per socket:    1</t>
  </si>
  <si>
    <t>Socket(s):             8</t>
  </si>
  <si>
    <t>NUMA node(s):          1</t>
  </si>
  <si>
    <t>NUMA node0 CPU(s):     0-7</t>
  </si>
  <si>
    <t>n = 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</si>
</sst>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1" xfId="0" applyFont="1" applyFill="1" applyBorder="1" applyAlignment="1">
      <alignment horizontal="center" vertical="center" textRotation="90" wrapText="1"/>
    </xf>
    <xf numFmtId="0" fontId="1" fillId="4" borderId="6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4.8997400000000004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3.4933100000000001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0.21833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5.5549099999999996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0.34717999999999999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1.7688250272826482</c:v>
                </c:pt>
                <c:pt idx="2">
                  <c:v>3.1615734720416127</c:v>
                </c:pt>
                <c:pt idx="3">
                  <c:v>4.1524338172502135</c:v>
                </c:pt>
                <c:pt idx="4">
                  <c:v>5.1728723404255321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0.88441251364132412</c:v>
                </c:pt>
                <c:pt idx="2">
                  <c:v>0.79039336801040316</c:v>
                </c:pt>
                <c:pt idx="3">
                  <c:v>0.69207230287503563</c:v>
                </c:pt>
                <c:pt idx="4">
                  <c:v>0.64660904255319152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9725</c:v>
                </c:pt>
                <c:pt idx="1">
                  <c:v>5498</c:v>
                </c:pt>
                <c:pt idx="2">
                  <c:v>3076</c:v>
                </c:pt>
                <c:pt idx="3">
                  <c:v>2342</c:v>
                </c:pt>
                <c:pt idx="4">
                  <c:v>1880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76160</c:v>
                </c:pt>
                <c:pt idx="1">
                  <c:v>39071</c:v>
                </c:pt>
                <c:pt idx="2">
                  <c:v>20102</c:v>
                </c:pt>
                <c:pt idx="3">
                  <c:v>14063</c:v>
                </c:pt>
                <c:pt idx="4">
                  <c:v>11690</c:v>
                </c:pt>
                <c:pt idx="5">
                  <c:v>10161</c:v>
                </c:pt>
                <c:pt idx="6">
                  <c:v>7756</c:v>
                </c:pt>
                <c:pt idx="7">
                  <c:v>7789</c:v>
                </c:pt>
                <c:pt idx="8">
                  <c:v>7039</c:v>
                </c:pt>
                <c:pt idx="9">
                  <c:v>6201</c:v>
                </c:pt>
                <c:pt idx="10">
                  <c:v>6056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1.9492718384479537</c:v>
                </c:pt>
                <c:pt idx="2">
                  <c:v>3.7886777435081087</c:v>
                </c:pt>
                <c:pt idx="3">
                  <c:v>5.4156296665007471</c:v>
                </c:pt>
                <c:pt idx="4">
                  <c:v>6.5149700598802394</c:v>
                </c:pt>
                <c:pt idx="5">
                  <c:v>7.4953252632614902</c:v>
                </c:pt>
                <c:pt idx="6">
                  <c:v>9.8194945848375443</c:v>
                </c:pt>
                <c:pt idx="7">
                  <c:v>9.777891898831685</c:v>
                </c:pt>
                <c:pt idx="8">
                  <c:v>10.81971871004404</c:v>
                </c:pt>
                <c:pt idx="9">
                  <c:v>12.281890017739075</c:v>
                </c:pt>
                <c:pt idx="10">
                  <c:v>12.575957727873183</c:v>
                </c:pt>
                <c:pt idx="11">
                  <c:v>11.124744376278118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0.97463591922397685</c:v>
                </c:pt>
                <c:pt idx="2">
                  <c:v>0.94716943587702718</c:v>
                </c:pt>
                <c:pt idx="3">
                  <c:v>0.90260494441679118</c:v>
                </c:pt>
                <c:pt idx="4">
                  <c:v>0.81437125748502992</c:v>
                </c:pt>
                <c:pt idx="5">
                  <c:v>0.74953252632614897</c:v>
                </c:pt>
                <c:pt idx="6">
                  <c:v>0.81829121540312866</c:v>
                </c:pt>
                <c:pt idx="7">
                  <c:v>0.69842084991654896</c:v>
                </c:pt>
                <c:pt idx="8">
                  <c:v>0.67623241937775247</c:v>
                </c:pt>
                <c:pt idx="9">
                  <c:v>0.68232722320772643</c:v>
                </c:pt>
                <c:pt idx="10">
                  <c:v>0.62879788639365919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64" workbookViewId="0">
      <selection activeCell="B87" sqref="B87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49" t="s">
        <v>22</v>
      </c>
      <c r="B5" s="50"/>
      <c r="C5" s="50"/>
      <c r="D5" s="50"/>
      <c r="E5" s="51"/>
      <c r="G5" s="56" t="s">
        <v>3</v>
      </c>
      <c r="H5" s="56"/>
      <c r="S5" s="5"/>
      <c r="T5" s="14"/>
      <c r="U5" s="14"/>
      <c r="V5" s="14"/>
      <c r="W5" s="14"/>
    </row>
    <row r="6" spans="1:23" x14ac:dyDescent="0.25">
      <c r="A6" s="4" t="s">
        <v>4</v>
      </c>
      <c r="B6" s="53" t="s">
        <v>5</v>
      </c>
      <c r="C6" s="53"/>
      <c r="D6" s="53"/>
      <c r="E6" s="53"/>
      <c r="G6" s="56"/>
      <c r="H6" s="56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6"/>
      <c r="H7" s="56"/>
      <c r="S7" s="14"/>
      <c r="T7" s="14"/>
      <c r="U7" s="14"/>
      <c r="V7" s="14"/>
      <c r="W7" s="14"/>
    </row>
    <row r="8" spans="1:23" x14ac:dyDescent="0.25">
      <c r="A8" s="54" t="s">
        <v>11</v>
      </c>
      <c r="B8" s="54"/>
      <c r="C8" s="54"/>
      <c r="D8" s="54"/>
      <c r="E8" s="54"/>
      <c r="G8" s="56"/>
      <c r="H8" s="56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54" t="s">
        <v>12</v>
      </c>
      <c r="B12" s="54"/>
      <c r="C12" s="54"/>
      <c r="D12" s="54"/>
      <c r="E12" s="54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8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9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60"/>
      <c r="E15" s="10" t="s">
        <v>10</v>
      </c>
    </row>
    <row r="18" spans="1:9" x14ac:dyDescent="0.25">
      <c r="A18" s="61" t="s">
        <v>32</v>
      </c>
      <c r="B18" s="61"/>
      <c r="C18" s="61"/>
      <c r="D18" s="61"/>
      <c r="E18" s="61"/>
    </row>
    <row r="19" spans="1:9" x14ac:dyDescent="0.25">
      <c r="A19" s="4" t="s">
        <v>4</v>
      </c>
      <c r="B19" s="53" t="s">
        <v>5</v>
      </c>
      <c r="C19" s="53"/>
      <c r="D19" s="53"/>
      <c r="E19" s="53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54" t="s">
        <v>11</v>
      </c>
      <c r="B21" s="54"/>
      <c r="C21" s="54"/>
      <c r="D21" s="54"/>
      <c r="E21" s="54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5"/>
      <c r="I24" s="55"/>
    </row>
    <row r="25" spans="1:9" x14ac:dyDescent="0.25">
      <c r="A25" s="54" t="s">
        <v>12</v>
      </c>
      <c r="B25" s="54"/>
      <c r="C25" s="54"/>
      <c r="D25" s="54"/>
      <c r="E25" s="54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49" t="s">
        <v>70</v>
      </c>
      <c r="B31" s="50"/>
      <c r="C31" s="51"/>
      <c r="D31" s="52" t="s">
        <v>91</v>
      </c>
      <c r="E31" s="52" t="s">
        <v>91</v>
      </c>
      <c r="G31" s="20"/>
      <c r="H31" s="21"/>
      <c r="I31" s="18"/>
    </row>
    <row r="32" spans="1:9" x14ac:dyDescent="0.25">
      <c r="A32" s="4" t="s">
        <v>4</v>
      </c>
      <c r="B32" s="53" t="s">
        <v>5</v>
      </c>
      <c r="C32" s="53"/>
      <c r="D32" s="53"/>
      <c r="E32" s="53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54" t="s">
        <v>11</v>
      </c>
      <c r="B34" s="54"/>
      <c r="C34" s="54"/>
      <c r="D34" s="54"/>
      <c r="E34" s="54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54" t="s">
        <v>12</v>
      </c>
      <c r="B38" s="54"/>
      <c r="C38" s="54"/>
      <c r="D38" s="54"/>
      <c r="E38" s="54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7" t="s">
        <v>66</v>
      </c>
      <c r="C42" s="57"/>
      <c r="D42" s="57"/>
      <c r="E42" s="57"/>
    </row>
    <row r="44" spans="1:9" x14ac:dyDescent="0.25">
      <c r="A44" s="49" t="s">
        <v>82</v>
      </c>
      <c r="B44" s="50"/>
      <c r="C44" s="51"/>
      <c r="D44" s="52" t="s">
        <v>92</v>
      </c>
      <c r="E44" s="52" t="s">
        <v>91</v>
      </c>
    </row>
    <row r="45" spans="1:9" x14ac:dyDescent="0.25">
      <c r="A45" s="4" t="s">
        <v>4</v>
      </c>
      <c r="B45" s="53" t="s">
        <v>5</v>
      </c>
      <c r="C45" s="53"/>
      <c r="D45" s="53"/>
      <c r="E45" s="53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54" t="s">
        <v>11</v>
      </c>
      <c r="B47" s="54"/>
      <c r="C47" s="54"/>
      <c r="D47" s="54"/>
      <c r="E47" s="54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54" t="s">
        <v>12</v>
      </c>
      <c r="B51" s="54"/>
      <c r="C51" s="54"/>
      <c r="D51" s="54"/>
      <c r="E51" s="54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49" t="s">
        <v>104</v>
      </c>
      <c r="B57" s="50"/>
      <c r="C57" s="51"/>
      <c r="D57" s="52" t="s">
        <v>92</v>
      </c>
      <c r="E57" s="52" t="s">
        <v>91</v>
      </c>
    </row>
    <row r="58" spans="1:8" x14ac:dyDescent="0.25">
      <c r="A58" s="4" t="s">
        <v>4</v>
      </c>
      <c r="B58" s="53" t="s">
        <v>5</v>
      </c>
      <c r="C58" s="53"/>
      <c r="D58" s="53"/>
      <c r="E58" s="53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54" t="s">
        <v>11</v>
      </c>
      <c r="B60" s="54"/>
      <c r="C60" s="54"/>
      <c r="D60" s="54"/>
      <c r="E60" s="54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54" t="s">
        <v>12</v>
      </c>
      <c r="B64" s="54"/>
      <c r="C64" s="54"/>
      <c r="D64" s="54"/>
      <c r="E64" s="54"/>
    </row>
    <row r="65" spans="1:6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6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6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6" x14ac:dyDescent="0.25">
      <c r="C68" s="1" t="s">
        <v>105</v>
      </c>
    </row>
    <row r="70" spans="1:6" x14ac:dyDescent="0.25">
      <c r="A70" s="49" t="s">
        <v>109</v>
      </c>
      <c r="B70" s="50"/>
      <c r="C70" s="51"/>
      <c r="D70" s="52" t="s">
        <v>92</v>
      </c>
      <c r="E70" s="52" t="s">
        <v>91</v>
      </c>
    </row>
    <row r="71" spans="1:6" x14ac:dyDescent="0.25">
      <c r="A71" s="4" t="s">
        <v>4</v>
      </c>
      <c r="B71" s="53" t="s">
        <v>5</v>
      </c>
      <c r="C71" s="53"/>
      <c r="D71" s="53"/>
      <c r="E71" s="53"/>
    </row>
    <row r="72" spans="1:6" x14ac:dyDescent="0.25">
      <c r="A72" s="54" t="s">
        <v>110</v>
      </c>
      <c r="B72" s="54"/>
      <c r="C72" s="54"/>
      <c r="D72" s="54"/>
      <c r="E72" s="54"/>
    </row>
    <row r="73" spans="1:6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6" x14ac:dyDescent="0.25">
      <c r="A74" s="3" t="s">
        <v>7</v>
      </c>
      <c r="B74" s="9"/>
      <c r="C74" s="10">
        <v>107</v>
      </c>
      <c r="D74" s="10"/>
      <c r="E74" s="10">
        <v>1349</v>
      </c>
    </row>
    <row r="75" spans="1:6" x14ac:dyDescent="0.25">
      <c r="A75" s="3" t="s">
        <v>8</v>
      </c>
      <c r="B75" s="9"/>
      <c r="C75" s="10">
        <v>598</v>
      </c>
      <c r="D75" s="10"/>
      <c r="E75" s="10">
        <v>12676</v>
      </c>
    </row>
    <row r="76" spans="1:6" x14ac:dyDescent="0.25">
      <c r="A76" s="3" t="s">
        <v>9</v>
      </c>
      <c r="B76" s="9"/>
      <c r="C76" s="10">
        <v>720</v>
      </c>
      <c r="D76" s="10"/>
      <c r="E76" s="10">
        <v>14026</v>
      </c>
    </row>
    <row r="77" spans="1:6" x14ac:dyDescent="0.25">
      <c r="A77" s="54" t="s">
        <v>111</v>
      </c>
      <c r="B77" s="54"/>
      <c r="C77" s="54"/>
      <c r="D77" s="54"/>
      <c r="E77" s="54"/>
    </row>
    <row r="78" spans="1:6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6" x14ac:dyDescent="0.25">
      <c r="A79" s="3" t="s">
        <v>7</v>
      </c>
      <c r="B79" s="9">
        <v>792</v>
      </c>
      <c r="C79" s="10">
        <v>2170</v>
      </c>
      <c r="D79" s="10">
        <v>4256</v>
      </c>
      <c r="E79" s="10">
        <v>8662</v>
      </c>
      <c r="F79" s="1" t="s">
        <v>115</v>
      </c>
    </row>
    <row r="80" spans="1:6" x14ac:dyDescent="0.25">
      <c r="A80" s="3" t="s">
        <v>8</v>
      </c>
      <c r="B80" s="9">
        <v>349</v>
      </c>
      <c r="C80" s="10">
        <v>1505</v>
      </c>
      <c r="D80" s="10">
        <v>3928</v>
      </c>
      <c r="E80" s="10">
        <v>11608</v>
      </c>
    </row>
    <row r="81" spans="1:5" x14ac:dyDescent="0.25">
      <c r="A81" s="3" t="s">
        <v>9</v>
      </c>
      <c r="B81" s="9">
        <v>1141</v>
      </c>
      <c r="C81" s="10">
        <v>3677</v>
      </c>
      <c r="D81" s="10">
        <v>8186</v>
      </c>
      <c r="E81" s="10">
        <v>20279</v>
      </c>
    </row>
  </sheetData>
  <mergeCells count="32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A70:C70"/>
    <mergeCell ref="D70:E70"/>
    <mergeCell ref="B71:E71"/>
    <mergeCell ref="A72:E72"/>
    <mergeCell ref="A77:E77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2"/>
  <sheetViews>
    <sheetView tabSelected="1" topLeftCell="A113" zoomScaleNormal="100" workbookViewId="0">
      <selection activeCell="D125" sqref="D125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61" t="s">
        <v>84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52" t="s">
        <v>90</v>
      </c>
      <c r="N1" s="52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64" t="s">
        <v>85</v>
      </c>
      <c r="B2" s="68" t="s">
        <v>78</v>
      </c>
      <c r="C2" s="69"/>
      <c r="D2" s="70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64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64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64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64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64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64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64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64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64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64"/>
      <c r="B12" s="33" t="s">
        <v>86</v>
      </c>
      <c r="C12" s="71" t="s">
        <v>81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65"/>
      <c r="O12" s="39"/>
      <c r="P12" s="23"/>
      <c r="Q12" s="23"/>
    </row>
    <row r="13" spans="1:26" ht="21.6" customHeight="1" x14ac:dyDescent="0.25">
      <c r="A13" s="64" t="s">
        <v>87</v>
      </c>
      <c r="B13" s="68" t="s">
        <v>78</v>
      </c>
      <c r="C13" s="69"/>
      <c r="D13" s="70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64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64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64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64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64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64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64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64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64"/>
      <c r="B22" s="72" t="s">
        <v>86</v>
      </c>
      <c r="C22" s="73" t="s">
        <v>88</v>
      </c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4"/>
      <c r="O22" s="38"/>
    </row>
    <row r="23" spans="1:17" ht="21.6" customHeight="1" x14ac:dyDescent="0.2">
      <c r="A23" s="64"/>
      <c r="B23" s="72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4"/>
      <c r="O23" s="38"/>
    </row>
    <row r="24" spans="1:17" ht="21.6" customHeight="1" x14ac:dyDescent="0.25">
      <c r="A24" s="61" t="s">
        <v>89</v>
      </c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52" t="s">
        <v>90</v>
      </c>
      <c r="N24" s="52"/>
      <c r="O24" s="38"/>
    </row>
    <row r="25" spans="1:17" ht="21.6" customHeight="1" x14ac:dyDescent="0.25">
      <c r="A25" s="62" t="s">
        <v>85</v>
      </c>
      <c r="B25" s="68" t="s">
        <v>78</v>
      </c>
      <c r="C25" s="69"/>
      <c r="D25" s="7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3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3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3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3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3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3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3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3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3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3"/>
      <c r="B35" s="68" t="s">
        <v>96</v>
      </c>
      <c r="C35" s="69"/>
      <c r="D35" s="7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3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3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3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3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3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3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3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3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3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3"/>
      <c r="B45" s="68" t="s">
        <v>97</v>
      </c>
      <c r="C45" s="69"/>
      <c r="D45" s="70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3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3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3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3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3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3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3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3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3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3"/>
      <c r="B55" s="46" t="s">
        <v>86</v>
      </c>
      <c r="C55" s="81" t="s">
        <v>102</v>
      </c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</row>
    <row r="56" spans="1:16" ht="21.6" customHeight="1" x14ac:dyDescent="0.25">
      <c r="A56" s="82" t="s">
        <v>103</v>
      </c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4"/>
      <c r="M56" s="52" t="s">
        <v>90</v>
      </c>
      <c r="N56" s="52"/>
      <c r="O56" s="30"/>
    </row>
    <row r="57" spans="1:16" ht="21.6" customHeight="1" x14ac:dyDescent="0.25">
      <c r="A57" s="62" t="s">
        <v>85</v>
      </c>
      <c r="B57" s="68" t="s">
        <v>78</v>
      </c>
      <c r="C57" s="69"/>
      <c r="D57" s="70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63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63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63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63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63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63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63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63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63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63"/>
      <c r="B67" s="68" t="s">
        <v>96</v>
      </c>
      <c r="C67" s="69"/>
      <c r="D67" s="7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63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63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63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63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63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63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63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63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63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63"/>
      <c r="B77" s="68" t="s">
        <v>97</v>
      </c>
      <c r="C77" s="69"/>
      <c r="D77" s="70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63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63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63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63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63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63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63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63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63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63"/>
      <c r="B87" s="46" t="s">
        <v>86</v>
      </c>
      <c r="C87" s="78" t="s">
        <v>106</v>
      </c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80"/>
    </row>
    <row r="88" spans="1:20" ht="21.6" customHeight="1" x14ac:dyDescent="0.3">
      <c r="A88" s="49" t="s">
        <v>107</v>
      </c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75" t="s">
        <v>113</v>
      </c>
      <c r="P88" s="76"/>
      <c r="Q88" s="76"/>
      <c r="R88" s="76"/>
      <c r="S88" s="76"/>
      <c r="T88" s="77"/>
    </row>
    <row r="89" spans="1:20" ht="21.6" customHeight="1" x14ac:dyDescent="0.25">
      <c r="A89" s="64" t="s">
        <v>85</v>
      </c>
      <c r="B89" s="68" t="s">
        <v>78</v>
      </c>
      <c r="C89" s="69"/>
      <c r="D89" s="69"/>
      <c r="E89" s="70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64"/>
      <c r="B90" s="42" t="s">
        <v>77</v>
      </c>
      <c r="C90" s="25" t="s">
        <v>80</v>
      </c>
      <c r="D90" s="25" t="s">
        <v>79</v>
      </c>
      <c r="E90" s="25" t="s">
        <v>112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64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64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64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64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64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64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64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64"/>
      <c r="B98" s="15">
        <v>16</v>
      </c>
      <c r="C98" s="40">
        <v>598</v>
      </c>
      <c r="D98" s="24">
        <v>1895</v>
      </c>
      <c r="E98" s="24">
        <v>12676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64"/>
      <c r="B99" s="68" t="s">
        <v>96</v>
      </c>
      <c r="C99" s="69"/>
      <c r="D99" s="69"/>
      <c r="E99" s="70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64"/>
      <c r="B100" s="42" t="s">
        <v>77</v>
      </c>
      <c r="C100" s="25" t="s">
        <v>80</v>
      </c>
      <c r="D100" s="25" t="s">
        <v>79</v>
      </c>
      <c r="E100" s="25" t="s">
        <v>112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64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64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64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64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64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64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64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64"/>
      <c r="B108" s="42">
        <v>16</v>
      </c>
      <c r="C108" s="40">
        <f>ROUND(C91/C98,5)</f>
        <v>3.4933100000000001</v>
      </c>
      <c r="D108" s="40">
        <f>ROUND(D91/D98,5)</f>
        <v>4.8997400000000004</v>
      </c>
      <c r="E108" s="40">
        <f>ROUND(E91/E98,5)</f>
        <v>5.5549099999999996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64"/>
      <c r="B109" s="68" t="s">
        <v>97</v>
      </c>
      <c r="C109" s="69"/>
      <c r="D109" s="69"/>
      <c r="E109" s="70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64"/>
      <c r="B110" s="42" t="s">
        <v>77</v>
      </c>
      <c r="C110" s="25" t="s">
        <v>80</v>
      </c>
      <c r="D110" s="25" t="s">
        <v>79</v>
      </c>
      <c r="E110" s="25" t="s">
        <v>112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64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64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64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64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64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64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64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64"/>
      <c r="B118" s="42">
        <v>16</v>
      </c>
      <c r="C118" s="40">
        <f t="shared" si="4"/>
        <v>0.21833</v>
      </c>
      <c r="D118" s="40">
        <f t="shared" si="5"/>
        <v>0.30623</v>
      </c>
      <c r="E118" s="40">
        <f t="shared" si="6"/>
        <v>0.34717999999999999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64"/>
      <c r="B119" s="33" t="s">
        <v>86</v>
      </c>
      <c r="C119" s="65" t="s">
        <v>114</v>
      </c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7"/>
    </row>
    <row r="120" spans="1:29" ht="21.6" customHeight="1" x14ac:dyDescent="0.25">
      <c r="A120" s="85" t="s">
        <v>108</v>
      </c>
      <c r="B120" s="68" t="s">
        <v>78</v>
      </c>
      <c r="C120" s="69"/>
      <c r="D120" s="69"/>
      <c r="E120" s="70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86"/>
      <c r="B121" s="42" t="s">
        <v>77</v>
      </c>
      <c r="C121" s="25" t="s">
        <v>79</v>
      </c>
      <c r="D121" s="25" t="s">
        <v>112</v>
      </c>
      <c r="E121" s="25" t="s">
        <v>123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86"/>
      <c r="B122" s="15">
        <v>1</v>
      </c>
      <c r="C122" s="24">
        <v>9725</v>
      </c>
      <c r="D122" s="24">
        <v>76160</v>
      </c>
      <c r="E122" s="24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86"/>
      <c r="B123" s="15">
        <v>2</v>
      </c>
      <c r="C123" s="24">
        <v>5498</v>
      </c>
      <c r="D123" s="24">
        <v>39071</v>
      </c>
      <c r="E123" s="24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86"/>
      <c r="B124" s="15">
        <v>4</v>
      </c>
      <c r="C124" s="24">
        <v>3076</v>
      </c>
      <c r="D124" s="24">
        <v>20102</v>
      </c>
      <c r="E124" s="24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86"/>
      <c r="B125" s="15">
        <v>6</v>
      </c>
      <c r="C125" s="24">
        <v>2342</v>
      </c>
      <c r="D125" s="24">
        <v>14063</v>
      </c>
      <c r="E125" s="24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86"/>
      <c r="B126" s="15">
        <v>8</v>
      </c>
      <c r="C126" s="40">
        <v>1880</v>
      </c>
      <c r="D126" s="24">
        <v>11690</v>
      </c>
      <c r="E126" s="24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86"/>
      <c r="B127" s="15">
        <v>10</v>
      </c>
      <c r="C127" s="40"/>
      <c r="D127" s="24">
        <v>10161</v>
      </c>
      <c r="E127" s="24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86"/>
      <c r="B128" s="15">
        <v>12</v>
      </c>
      <c r="C128" s="40"/>
      <c r="D128" s="24">
        <v>7756</v>
      </c>
      <c r="E128" s="24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86"/>
      <c r="B129" s="15">
        <v>14</v>
      </c>
      <c r="C129" s="40"/>
      <c r="D129" s="24">
        <v>7789</v>
      </c>
      <c r="E129" s="24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86"/>
      <c r="B130" s="15">
        <v>16</v>
      </c>
      <c r="C130" s="40"/>
      <c r="D130" s="24">
        <v>7039</v>
      </c>
      <c r="E130" s="24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86"/>
      <c r="B131" s="15">
        <v>18</v>
      </c>
      <c r="C131" s="40"/>
      <c r="D131" s="24">
        <v>6201</v>
      </c>
      <c r="E131" s="24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86"/>
      <c r="B132" s="15">
        <v>20</v>
      </c>
      <c r="C132" s="40"/>
      <c r="D132" s="24">
        <v>6056</v>
      </c>
      <c r="E132" s="24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86"/>
      <c r="B133" s="15">
        <v>40</v>
      </c>
      <c r="C133" s="40"/>
      <c r="D133" s="24">
        <v>6846</v>
      </c>
      <c r="E133" s="24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86"/>
      <c r="B134" s="68" t="s">
        <v>96</v>
      </c>
      <c r="C134" s="69"/>
      <c r="D134" s="69"/>
      <c r="E134" s="70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86"/>
      <c r="B135" s="42" t="s">
        <v>77</v>
      </c>
      <c r="C135" s="25" t="s">
        <v>79</v>
      </c>
      <c r="D135" s="25" t="s">
        <v>112</v>
      </c>
      <c r="E135" s="25" t="s">
        <v>123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86"/>
      <c r="B136" s="15">
        <v>1</v>
      </c>
      <c r="C136" s="40">
        <f>C122/C122</f>
        <v>1</v>
      </c>
      <c r="D136" s="40">
        <f>D122/D122</f>
        <v>1</v>
      </c>
      <c r="E136" s="40" t="e">
        <f>E122/E122</f>
        <v>#DIV/0!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86"/>
      <c r="B137" s="15">
        <v>2</v>
      </c>
      <c r="C137" s="40">
        <f>C122/C123</f>
        <v>1.7688250272826482</v>
      </c>
      <c r="D137" s="40">
        <f>D122/D123</f>
        <v>1.9492718384479537</v>
      </c>
      <c r="E137" s="40" t="e">
        <f>E122/E123</f>
        <v>#DIV/0!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86"/>
      <c r="B138" s="15">
        <v>4</v>
      </c>
      <c r="C138" s="40">
        <f>C122/C124</f>
        <v>3.1615734720416127</v>
      </c>
      <c r="D138" s="40">
        <f>D122/D124</f>
        <v>3.7886777435081087</v>
      </c>
      <c r="E138" s="40" t="e">
        <f>E122/E124</f>
        <v>#DIV/0!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86"/>
      <c r="B139" s="15">
        <v>6</v>
      </c>
      <c r="C139" s="40">
        <f>C122/C125</f>
        <v>4.1524338172502135</v>
      </c>
      <c r="D139" s="40">
        <f>D122/D125</f>
        <v>5.4156296665007471</v>
      </c>
      <c r="E139" s="40" t="e">
        <f>E122/E125</f>
        <v>#DIV/0!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86"/>
      <c r="B140" s="15">
        <v>8</v>
      </c>
      <c r="C140" s="40">
        <f>C122/C126</f>
        <v>5.1728723404255321</v>
      </c>
      <c r="D140" s="40">
        <f>D122/D126</f>
        <v>6.5149700598802394</v>
      </c>
      <c r="E140" s="40" t="e">
        <f>E122/E126</f>
        <v>#DIV/0!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86"/>
      <c r="B141" s="15">
        <v>10</v>
      </c>
      <c r="C141" s="40" t="e">
        <f>C122/C127</f>
        <v>#DIV/0!</v>
      </c>
      <c r="D141" s="40">
        <f>D122/D127</f>
        <v>7.4953252632614902</v>
      </c>
      <c r="E141" s="40" t="e">
        <f>E122/E127</f>
        <v>#DIV/0!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86"/>
      <c r="B142" s="15">
        <v>12</v>
      </c>
      <c r="C142" s="40" t="e">
        <f>C122/C128</f>
        <v>#DIV/0!</v>
      </c>
      <c r="D142" s="40">
        <f>D122/D128</f>
        <v>9.8194945848375443</v>
      </c>
      <c r="E142" s="40" t="e">
        <f>E122/E128</f>
        <v>#DIV/0!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86"/>
      <c r="B143" s="15">
        <v>14</v>
      </c>
      <c r="C143" s="40" t="e">
        <f>C$122/C129</f>
        <v>#DIV/0!</v>
      </c>
      <c r="D143" s="40">
        <f>D$122/D129</f>
        <v>9.777891898831685</v>
      </c>
      <c r="E143" s="40" t="e">
        <f>E$122/E129</f>
        <v>#DIV/0!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86"/>
      <c r="B144" s="15">
        <v>16</v>
      </c>
      <c r="C144" s="40" t="e">
        <f>C$122/C130</f>
        <v>#DIV/0!</v>
      </c>
      <c r="D144" s="40">
        <f>D$122/D130</f>
        <v>10.81971871004404</v>
      </c>
      <c r="E144" s="40" t="e">
        <f t="shared" ref="E144" si="7">E$122/E130</f>
        <v>#DIV/0!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86"/>
      <c r="B145" s="15">
        <v>18</v>
      </c>
      <c r="C145" s="40" t="e">
        <f>C$122/C131</f>
        <v>#DIV/0!</v>
      </c>
      <c r="D145" s="40">
        <f>D$122/D131</f>
        <v>12.281890017739075</v>
      </c>
      <c r="E145" s="40" t="e">
        <f t="shared" ref="E145" si="8">E$122/E131</f>
        <v>#DIV/0!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86"/>
      <c r="B146" s="15">
        <v>20</v>
      </c>
      <c r="C146" s="40" t="e">
        <f>C$122/C132</f>
        <v>#DIV/0!</v>
      </c>
      <c r="D146" s="40">
        <f>D$122/D132</f>
        <v>12.575957727873183</v>
      </c>
      <c r="E146" s="40" t="e">
        <f t="shared" ref="E146" si="9">E$122/E132</f>
        <v>#DIV/0!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86"/>
      <c r="B147" s="15">
        <v>40</v>
      </c>
      <c r="C147" s="40" t="e">
        <f>C$122/C133</f>
        <v>#DIV/0!</v>
      </c>
      <c r="D147" s="40">
        <f>D$122/D133</f>
        <v>11.124744376278118</v>
      </c>
      <c r="E147" s="40" t="e">
        <f>E$122/E133</f>
        <v>#DIV/0!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86"/>
      <c r="B148" s="68" t="s">
        <v>97</v>
      </c>
      <c r="C148" s="69"/>
      <c r="D148" s="69"/>
      <c r="E148" s="70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86"/>
      <c r="B149" s="42" t="s">
        <v>77</v>
      </c>
      <c r="C149" s="25" t="s">
        <v>79</v>
      </c>
      <c r="D149" s="25" t="s">
        <v>112</v>
      </c>
      <c r="E149" s="25" t="s">
        <v>123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86"/>
      <c r="B150" s="15">
        <v>1</v>
      </c>
      <c r="C150" s="40">
        <f>C136/$B136</f>
        <v>1</v>
      </c>
      <c r="D150" s="40">
        <f>D136/$B136</f>
        <v>1</v>
      </c>
      <c r="E150" s="40" t="e">
        <f>E136/$B136</f>
        <v>#DIV/0!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86"/>
      <c r="B151" s="15">
        <v>2</v>
      </c>
      <c r="C151" s="40">
        <f>C137/$B137</f>
        <v>0.88441251364132412</v>
      </c>
      <c r="D151" s="40">
        <f>D137/$B137</f>
        <v>0.97463591922397685</v>
      </c>
      <c r="E151" s="40" t="e">
        <f>E137/$B137</f>
        <v>#DIV/0!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86"/>
      <c r="B152" s="15">
        <v>4</v>
      </c>
      <c r="C152" s="40">
        <f>C138/$B138</f>
        <v>0.79039336801040316</v>
      </c>
      <c r="D152" s="40">
        <f>D138/$B138</f>
        <v>0.94716943587702718</v>
      </c>
      <c r="E152" s="40" t="e">
        <f>E138/$B138</f>
        <v>#DIV/0!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86"/>
      <c r="B153" s="15">
        <v>6</v>
      </c>
      <c r="C153" s="40">
        <f>C139/$B139</f>
        <v>0.69207230287503563</v>
      </c>
      <c r="D153" s="40">
        <f>D139/$B139</f>
        <v>0.90260494441679118</v>
      </c>
      <c r="E153" s="40" t="e">
        <f>E139/$B139</f>
        <v>#DIV/0!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86"/>
      <c r="B154" s="15">
        <v>8</v>
      </c>
      <c r="C154" s="40">
        <f>C140/$B140</f>
        <v>0.64660904255319152</v>
      </c>
      <c r="D154" s="40">
        <f>D140/$B140</f>
        <v>0.81437125748502992</v>
      </c>
      <c r="E154" s="40" t="e">
        <f>E140/$B140</f>
        <v>#DIV/0!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86"/>
      <c r="B155" s="15">
        <v>10</v>
      </c>
      <c r="C155" s="40" t="e">
        <f>C141/B141</f>
        <v>#DIV/0!</v>
      </c>
      <c r="D155" s="40">
        <f>D141/$B141</f>
        <v>0.74953252632614897</v>
      </c>
      <c r="E155" s="40" t="e">
        <f>E141/$B141</f>
        <v>#DIV/0!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86"/>
      <c r="B156" s="15">
        <v>12</v>
      </c>
      <c r="C156" s="40" t="e">
        <f>C142/$B142</f>
        <v>#DIV/0!</v>
      </c>
      <c r="D156" s="40">
        <f>D142/$B142</f>
        <v>0.81829121540312866</v>
      </c>
      <c r="E156" s="40" t="e">
        <f>E142/$B142</f>
        <v>#DIV/0!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86"/>
      <c r="B157" s="15">
        <v>14</v>
      </c>
      <c r="C157" s="40" t="e">
        <f>C143/$B143</f>
        <v>#DIV/0!</v>
      </c>
      <c r="D157" s="40">
        <f>D143/$B143</f>
        <v>0.69842084991654896</v>
      </c>
      <c r="E157" s="40" t="e">
        <f>E143/$B143</f>
        <v>#DIV/0!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86"/>
      <c r="B158" s="15">
        <v>16</v>
      </c>
      <c r="C158" s="40" t="e">
        <f>C144/$B144</f>
        <v>#DIV/0!</v>
      </c>
      <c r="D158" s="40">
        <f>D144/$B144</f>
        <v>0.67623241937775247</v>
      </c>
      <c r="E158" s="40" t="e">
        <f>E144/$B144</f>
        <v>#DIV/0!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86"/>
      <c r="B159" s="15">
        <v>18</v>
      </c>
      <c r="C159" s="40" t="e">
        <f>C145/$B145</f>
        <v>#DIV/0!</v>
      </c>
      <c r="D159" s="40">
        <f>D145/$B145</f>
        <v>0.68232722320772643</v>
      </c>
      <c r="E159" s="40" t="e">
        <f>E145/$B145</f>
        <v>#DIV/0!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86"/>
      <c r="B160" s="15">
        <v>20</v>
      </c>
      <c r="C160" s="40" t="e">
        <f>C146/$B146</f>
        <v>#DIV/0!</v>
      </c>
      <c r="D160" s="40">
        <f>D146/$B146</f>
        <v>0.62879788639365919</v>
      </c>
      <c r="E160" s="40" t="e">
        <f>E146/$B146</f>
        <v>#DIV/0!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86"/>
      <c r="B161" s="15">
        <v>40</v>
      </c>
      <c r="C161" s="40" t="e">
        <f>C147/$B147</f>
        <v>#DIV/0!</v>
      </c>
      <c r="D161" s="40">
        <f>D147/$B147</f>
        <v>0.27811860940695293</v>
      </c>
      <c r="E161" s="40" t="e">
        <f>E147/$B147</f>
        <v>#DIV/0!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86"/>
      <c r="B162" s="33" t="s">
        <v>86</v>
      </c>
      <c r="C162" s="65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7"/>
    </row>
  </sheetData>
  <mergeCells count="35"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A89:A119"/>
    <mergeCell ref="C119:T119"/>
    <mergeCell ref="B89:E89"/>
    <mergeCell ref="B99:E99"/>
    <mergeCell ref="B109:E109"/>
    <mergeCell ref="B148:E148"/>
    <mergeCell ref="B134:E134"/>
    <mergeCell ref="B120:E120"/>
    <mergeCell ref="A120:A162"/>
    <mergeCell ref="C162:AC162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23"/>
  <sheetViews>
    <sheetView workbookViewId="0">
      <selection activeCell="O11" sqref="O11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 t="s">
        <v>116</v>
      </c>
    </row>
    <row r="18" spans="13:13" x14ac:dyDescent="0.3">
      <c r="M18" s="41" t="s">
        <v>117</v>
      </c>
    </row>
    <row r="19" spans="13:13" x14ac:dyDescent="0.3">
      <c r="M19" s="41" t="s">
        <v>118</v>
      </c>
    </row>
    <row r="20" spans="13:13" x14ac:dyDescent="0.3">
      <c r="M20" s="41" t="s">
        <v>119</v>
      </c>
    </row>
    <row r="21" spans="13:13" x14ac:dyDescent="0.3">
      <c r="M21" s="41" t="s">
        <v>120</v>
      </c>
    </row>
    <row r="22" spans="13:13" x14ac:dyDescent="0.3">
      <c r="M22" s="41" t="s">
        <v>121</v>
      </c>
    </row>
    <row r="23" spans="13:13" x14ac:dyDescent="0.3">
      <c r="M23" s="41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2026-03-13T20:19:44Z</dcterms:modified>
</cp:coreProperties>
</file>
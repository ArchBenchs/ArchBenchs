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7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8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9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0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1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2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3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4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5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6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Maxim\source\repos\practice\SECOND_COURSE\FOR_ITLAB\ArchBenchs\DecompositionLU\docs\"/>
    </mc:Choice>
  </mc:AlternateContent>
  <xr:revisionPtr revIDLastSave="0" documentId="13_ncr:1_{8EB25DD3-1C29-4906-BC47-7C1085524841}" xr6:coauthVersionLast="45" xr6:coauthVersionMax="45" xr10:uidLastSave="{00000000-0000-0000-0000-000000000000}"/>
  <bookViews>
    <workbookView xWindow="-114" yWindow="-114" windowWidth="27602" windowHeight="15027" activeTab="1" xr2:uid="{00000000-000D-0000-FFFF-FFFF00000000}"/>
  </bookViews>
  <sheets>
    <sheet name="Таблица" sheetId="1" r:id="rId1"/>
    <sheet name="Графики" sheetId="2" r:id="rId2"/>
    <sheet name="Про процессор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80" i="2" l="1"/>
  <c r="D78" i="2"/>
  <c r="C84" i="2"/>
  <c r="C85" i="2"/>
  <c r="C78" i="2"/>
  <c r="D75" i="2"/>
  <c r="D85" i="2" s="1"/>
  <c r="D74" i="2"/>
  <c r="D84" i="2" s="1"/>
  <c r="D73" i="2"/>
  <c r="D83" i="2" s="1"/>
  <c r="D72" i="2"/>
  <c r="D82" i="2" s="1"/>
  <c r="D71" i="2"/>
  <c r="D81" i="2" s="1"/>
  <c r="D70" i="2"/>
  <c r="D69" i="2"/>
  <c r="D79" i="2" s="1"/>
  <c r="D68" i="2"/>
  <c r="C68" i="2"/>
  <c r="C75" i="2"/>
  <c r="C74" i="2"/>
  <c r="C73" i="2"/>
  <c r="C83" i="2" s="1"/>
  <c r="C72" i="2"/>
  <c r="C82" i="2" s="1"/>
  <c r="C71" i="2"/>
  <c r="C81" i="2" s="1"/>
  <c r="C70" i="2"/>
  <c r="C80" i="2" s="1"/>
  <c r="C69" i="2"/>
  <c r="C79" i="2" s="1"/>
  <c r="D44" i="2" l="1"/>
  <c r="D54" i="2" s="1"/>
  <c r="D43" i="2"/>
  <c r="D53" i="2" s="1"/>
  <c r="D42" i="2"/>
  <c r="D52" i="2" s="1"/>
  <c r="D41" i="2"/>
  <c r="D51" i="2" s="1"/>
  <c r="D40" i="2"/>
  <c r="D50" i="2" s="1"/>
  <c r="D39" i="2"/>
  <c r="D49" i="2" s="1"/>
  <c r="D38" i="2"/>
  <c r="D48" i="2" s="1"/>
  <c r="D37" i="2"/>
  <c r="D47" i="2" s="1"/>
  <c r="C44" i="2"/>
  <c r="C54" i="2" s="1"/>
  <c r="C43" i="2"/>
  <c r="C53" i="2" s="1"/>
  <c r="C42" i="2"/>
  <c r="C52" i="2" s="1"/>
  <c r="C41" i="2"/>
  <c r="C51" i="2" s="1"/>
  <c r="C40" i="2"/>
  <c r="C50" i="2" s="1"/>
  <c r="C39" i="2"/>
  <c r="C49" i="2" s="1"/>
  <c r="C38" i="2"/>
  <c r="C48" i="2" s="1"/>
  <c r="C37" i="2"/>
  <c r="C47" i="2" s="1"/>
</calcChain>
</file>

<file path=xl/sharedStrings.xml><?xml version="1.0" encoding="utf-8"?>
<sst xmlns="http://schemas.openxmlformats.org/spreadsheetml/2006/main" count="174" uniqueCount="103">
  <si>
    <t>Я не уверен, будет ли это использоваться в готовой презентации и так ли это надо делать, если да, так что пока считаем, что файл для личного пользования.</t>
  </si>
  <si>
    <t>В этом файле будет находиться статистика версий программы, а именно время выполнения теста на оптимизацию и используемая им память.</t>
  </si>
  <si>
    <t xml:space="preserve">Для замеров времени предполагается использовать CRONO, "замеры" памяти грубо прикидываются автором. </t>
  </si>
  <si>
    <t>Главное - не забывать замеры вести и заранее нарисовать красивую табличку со шрифтом по ГОСТу, остальное приложится</t>
  </si>
  <si>
    <t xml:space="preserve">Использованная память: </t>
  </si>
  <si>
    <t>n^2</t>
  </si>
  <si>
    <t>Величина n (длина строки/столбца):</t>
  </si>
  <si>
    <t>Время инициализации матрицы (случ. значения), мс:</t>
  </si>
  <si>
    <t>Время вычисления LU разложения, мс:</t>
  </si>
  <si>
    <t>Общее время выполнения теста, мс:</t>
  </si>
  <si>
    <t>неизвестно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</si>
  <si>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Intel oneApi</t>
    </r>
    <r>
      <rPr>
        <sz val="14"/>
        <color theme="1"/>
        <rFont val="GOST Common"/>
        <family val="2"/>
        <charset val="204"/>
      </rPr>
      <t xml:space="preserve">, конфигурация: </t>
    </r>
    <r>
      <rPr>
        <b/>
        <sz val="14"/>
        <color rgb="FF0070C0"/>
        <rFont val="GOST Common"/>
        <family val="2"/>
        <charset val="204"/>
      </rPr>
      <t>Release</t>
    </r>
  </si>
  <si>
    <r>
      <t xml:space="preserve">Компилятор: </t>
    </r>
    <r>
      <rPr>
        <b/>
        <sz val="14"/>
        <color rgb="FF0070C0"/>
        <rFont val="GOST Common"/>
        <family val="2"/>
        <charset val="204"/>
      </rPr>
      <t>Visual Studio</t>
    </r>
    <r>
      <rPr>
        <sz val="14"/>
        <color theme="1"/>
        <rFont val="GOST Common"/>
        <family val="2"/>
        <charset val="204"/>
      </rPr>
      <t xml:space="preserve">, конфигурация: </t>
    </r>
    <r>
      <rPr>
        <b/>
        <sz val="14"/>
        <color rgb="FF0070C0"/>
        <rFont val="GOST Common"/>
        <family val="2"/>
        <charset val="204"/>
      </rPr>
      <t>Release</t>
    </r>
  </si>
  <si>
    <t>35931 (35,9 сек)</t>
  </si>
  <si>
    <t>36130 (36,1 сек)</t>
  </si>
  <si>
    <t>816373 (816,4 сек)</t>
  </si>
  <si>
    <t>817418 (817,4 сек)</t>
  </si>
  <si>
    <t>3731587 (3731,6 сек)</t>
  </si>
  <si>
    <t>3733384 (3733,4 сек)</t>
  </si>
  <si>
    <t>39196 (39,2 сек)</t>
  </si>
  <si>
    <t>39431 (39,4 сек)</t>
  </si>
  <si>
    <t>На момент создания этой версии, тесты не проводились</t>
  </si>
  <si>
    <t>Версия 1.0 (последовательная, не блочная)</t>
  </si>
  <si>
    <t>~10</t>
  </si>
  <si>
    <t>~292</t>
  </si>
  <si>
    <t>~303</t>
  </si>
  <si>
    <t>~86</t>
  </si>
  <si>
    <t>~9241 (9,2 сек)</t>
  </si>
  <si>
    <t>~9328 (9,3 сек)</t>
  </si>
  <si>
    <t>~701</t>
  </si>
  <si>
    <t>~119878 (119,9 сек)</t>
  </si>
  <si>
    <t>~120579 (120,6 сек)</t>
  </si>
  <si>
    <t>Версия 1.1 (та же 1.0, но с улучшением обхода памяти и генератора)</t>
  </si>
  <si>
    <t>~1320</t>
  </si>
  <si>
    <t>~319947 (319,9 сек)</t>
  </si>
  <si>
    <t>~321267 (321,3 сек)</t>
  </si>
  <si>
    <t>~13</t>
  </si>
  <si>
    <t>~317</t>
  </si>
  <si>
    <t>~330</t>
  </si>
  <si>
    <t>~96</t>
  </si>
  <si>
    <t>а почему</t>
  </si>
  <si>
    <t>~543</t>
  </si>
  <si>
    <t>~110071 (110,1 сек)</t>
  </si>
  <si>
    <t>~110614 (110,6 сек)</t>
  </si>
  <si>
    <t>~8058 (8,1 сек)</t>
  </si>
  <si>
    <t>~8155 (8,2 сек)</t>
  </si>
  <si>
    <t>~1689</t>
  </si>
  <si>
    <t>А ПОЧЕМУ</t>
  </si>
  <si>
    <t>~355642 (355,6 сек)</t>
  </si>
  <si>
    <t>~357332 (357,3 сек)</t>
  </si>
  <si>
    <t>а тут логично…</t>
  </si>
  <si>
    <t>~1162</t>
  </si>
  <si>
    <t>~673</t>
  </si>
  <si>
    <t>~318250 (318,3 сек)</t>
  </si>
  <si>
    <t>~319412 (319,4 сек)</t>
  </si>
  <si>
    <t xml:space="preserve"> ~106711 (106,7 сек)</t>
  </si>
  <si>
    <t>~107385 (107,4 сек)</t>
  </si>
  <si>
    <t>~130</t>
  </si>
  <si>
    <t>~8692 (8,7 сек)</t>
  </si>
  <si>
    <t>~8822 (8,8 сек)</t>
  </si>
  <si>
    <t>~16</t>
  </si>
  <si>
    <t>~106</t>
  </si>
  <si>
    <t>~122</t>
  </si>
  <si>
    <t>~1007</t>
  </si>
  <si>
    <t>~306040 (306 сек)</t>
  </si>
  <si>
    <t>~307048 (307 сек)</t>
  </si>
  <si>
    <t>А ПОЧЕМУ ТАК</t>
  </si>
  <si>
    <t>~522</t>
  </si>
  <si>
    <t>~106596 (106,6 сек)</t>
  </si>
  <si>
    <t>~107118 (107,1 сек)</t>
  </si>
  <si>
    <t>Версия 2.0 (распараллеленная версия 1.1)</t>
  </si>
  <si>
    <t>~154</t>
  </si>
  <si>
    <t>~7321 (7,3 сек)</t>
  </si>
  <si>
    <t>~7475 (7,5 сек)</t>
  </si>
  <si>
    <t>~21</t>
  </si>
  <si>
    <t>~61</t>
  </si>
  <si>
    <t>~82</t>
  </si>
  <si>
    <t>Кол-во потоков</t>
  </si>
  <si>
    <t>Время вычисления</t>
  </si>
  <si>
    <t>n = 5000</t>
  </si>
  <si>
    <t>n = 3000</t>
  </si>
  <si>
    <t>Я искренне не понимаю этих результатов</t>
  </si>
  <si>
    <t>Версия 3.0 (блочная версия алгоритма)</t>
  </si>
  <si>
    <t>Хотя бы здесь логично</t>
  </si>
  <si>
    <t>Замеры версии 2.0</t>
  </si>
  <si>
    <t>Замеры на ноутбуке, данные процессора на вкладке "про процессор"</t>
  </si>
  <si>
    <t>Комментарии:</t>
  </si>
  <si>
    <t>Замеры на учебном компьютере, число физ ядер - 6 и лог ядер - 12</t>
  </si>
  <si>
    <t>Функция плохо распараллеливается больше чем на 4 потока</t>
  </si>
  <si>
    <t>Замеры версии 3.0</t>
  </si>
  <si>
    <t>Соотв. таблица</t>
  </si>
  <si>
    <t>Соотв. графики</t>
  </si>
  <si>
    <t>Соотв. Графики</t>
  </si>
  <si>
    <t>Intel Core i5-1240P 12th Gen</t>
  </si>
  <si>
    <t>LU</t>
  </si>
  <si>
    <t>блок</t>
  </si>
  <si>
    <t>Ускорение S</t>
  </si>
  <si>
    <t>Эффективность</t>
  </si>
  <si>
    <t>4 производительных, 8 энергосберегающих ядер</t>
  </si>
  <si>
    <t>Производительные: ~1.7-2.1 GHz, ~4.4 Ghz, hyperthreading</t>
  </si>
  <si>
    <t>Энергосберегающие: ~1.2-1.5 GHz, ~3.3 GHz</t>
  </si>
  <si>
    <t>12 Мб кэша третьего уровня, 10 Мб - второго</t>
  </si>
  <si>
    <t>Не жили нормально, нечего и начинать. Хотя бы плавный график, но как только включаются энергосберегающие ядра, параллелизация буксует.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</si>
</sst>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sz val="14"/>
      <color theme="1"/>
      <name val="GOST Common"/>
      <family val="2"/>
      <charset val="204"/>
    </font>
    <font>
      <sz val="14"/>
      <color theme="9" tint="-0.249977111117893"/>
      <name val="GOST Common"/>
      <family val="2"/>
      <charset val="204"/>
    </font>
    <font>
      <i/>
      <sz val="14"/>
      <color theme="0"/>
      <name val="GOST Common"/>
      <family val="2"/>
      <charset val="204"/>
    </font>
    <font>
      <b/>
      <sz val="14"/>
      <color theme="0"/>
      <name val="GOST Common"/>
      <family val="2"/>
      <charset val="204"/>
    </font>
    <font>
      <sz val="14"/>
      <name val="GOST Common"/>
      <family val="2"/>
      <charset val="204"/>
    </font>
    <font>
      <b/>
      <sz val="14"/>
      <color rgb="FF0070C0"/>
      <name val="GOST Common"/>
      <family val="2"/>
      <charset val="204"/>
    </font>
    <font>
      <sz val="14"/>
      <color rgb="FF0070C0"/>
      <name val="GOST Common"/>
      <family val="2"/>
      <charset val="204"/>
    </font>
    <font>
      <sz val="8"/>
      <name val="Calibri"/>
      <family val="2"/>
      <scheme val="minor"/>
    </font>
    <font>
      <b/>
      <sz val="14"/>
      <color theme="1"/>
      <name val="GOST Common"/>
      <family val="2"/>
      <charset val="204"/>
    </font>
    <font>
      <b/>
      <sz val="14"/>
      <name val="GOST Common"/>
      <family val="2"/>
      <charset val="204"/>
    </font>
    <font>
      <i/>
      <sz val="14"/>
      <color rgb="FF0070C0"/>
      <name val="GOST Common"/>
      <family val="2"/>
      <charset val="204"/>
    </font>
    <font>
      <i/>
      <sz val="14"/>
      <name val="GOST Common"/>
      <family val="2"/>
      <charset val="204"/>
    </font>
    <font>
      <sz val="11"/>
      <color theme="1"/>
      <name val="GOST Common"/>
      <family val="2"/>
      <charset val="204"/>
    </font>
    <font>
      <i/>
      <sz val="14"/>
      <color theme="1"/>
      <name val="GOST Common"/>
      <family val="2"/>
      <charset val="204"/>
    </font>
    <font>
      <sz val="18"/>
      <color theme="1"/>
      <name val="GOST Common"/>
      <family val="2"/>
      <charset val="204"/>
    </font>
    <font>
      <b/>
      <sz val="18"/>
      <color theme="1"/>
      <name val="GOST Common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1" fillId="0" borderId="0" xfId="0" applyFont="1" applyAlignment="1"/>
    <xf numFmtId="0" fontId="5" fillId="0" borderId="1" xfId="0" applyFont="1" applyFill="1" applyBorder="1"/>
    <xf numFmtId="0" fontId="1" fillId="0" borderId="1" xfId="0" applyFont="1" applyBorder="1" applyAlignment="1">
      <alignment horizontal="left"/>
    </xf>
    <xf numFmtId="0" fontId="1" fillId="0" borderId="0" xfId="0" applyFont="1" applyFill="1"/>
    <xf numFmtId="0" fontId="2" fillId="0" borderId="0" xfId="0" applyFont="1" applyAlignment="1"/>
    <xf numFmtId="0" fontId="6" fillId="0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0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9" fillId="0" borderId="1" xfId="0" applyFont="1" applyBorder="1"/>
    <xf numFmtId="0" fontId="3" fillId="0" borderId="0" xfId="0" applyFont="1" applyFill="1" applyAlignment="1">
      <alignment vertical="center"/>
    </xf>
    <xf numFmtId="0" fontId="10" fillId="0" borderId="1" xfId="0" applyFont="1" applyBorder="1" applyAlignment="1">
      <alignment horizontal="center"/>
    </xf>
    <xf numFmtId="0" fontId="1" fillId="0" borderId="1" xfId="0" applyFont="1" applyBorder="1"/>
    <xf numFmtId="0" fontId="6" fillId="0" borderId="0" xfId="0" applyFont="1" applyFill="1" applyBorder="1" applyAlignment="1">
      <alignment horizontal="center"/>
    </xf>
    <xf numFmtId="0" fontId="1" fillId="0" borderId="0" xfId="0" applyFont="1" applyBorder="1"/>
    <xf numFmtId="0" fontId="9" fillId="0" borderId="0" xfId="0" applyFont="1" applyBorder="1"/>
    <xf numFmtId="0" fontId="10" fillId="0" borderId="0" xfId="0" applyFont="1" applyBorder="1" applyAlignment="1">
      <alignment horizontal="center"/>
    </xf>
    <xf numFmtId="0" fontId="11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1" fillId="0" borderId="0" xfId="0" applyFont="1" applyBorder="1" applyAlignment="1">
      <alignment horizontal="right"/>
    </xf>
    <xf numFmtId="0" fontId="12" fillId="0" borderId="1" xfId="0" applyFont="1" applyBorder="1" applyAlignment="1">
      <alignment horizontal="center"/>
    </xf>
    <xf numFmtId="0" fontId="10" fillId="0" borderId="1" xfId="0" applyFont="1" applyFill="1" applyBorder="1" applyAlignment="1">
      <alignment horizontal="center"/>
    </xf>
    <xf numFmtId="0" fontId="13" fillId="0" borderId="0" xfId="0" applyFont="1"/>
    <xf numFmtId="0" fontId="13" fillId="0" borderId="0" xfId="0" applyFont="1" applyBorder="1"/>
    <xf numFmtId="0" fontId="6" fillId="0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3" fillId="0" borderId="0" xfId="0" applyFont="1" applyFill="1" applyBorder="1"/>
    <xf numFmtId="0" fontId="13" fillId="0" borderId="1" xfId="0" applyFont="1" applyBorder="1"/>
    <xf numFmtId="0" fontId="13" fillId="0" borderId="1" xfId="0" applyFont="1" applyFill="1" applyBorder="1"/>
    <xf numFmtId="0" fontId="9" fillId="4" borderId="1" xfId="0" applyFont="1" applyFill="1" applyBorder="1" applyAlignment="1">
      <alignment vertical="center"/>
    </xf>
    <xf numFmtId="0" fontId="13" fillId="0" borderId="6" xfId="0" applyFont="1" applyBorder="1"/>
    <xf numFmtId="0" fontId="4" fillId="0" borderId="0" xfId="0" applyFont="1" applyFill="1" applyBorder="1" applyAlignment="1"/>
    <xf numFmtId="0" fontId="4" fillId="0" borderId="9" xfId="0" applyFont="1" applyFill="1" applyBorder="1" applyAlignment="1"/>
    <xf numFmtId="0" fontId="13" fillId="0" borderId="9" xfId="0" applyFont="1" applyFill="1" applyBorder="1"/>
    <xf numFmtId="0" fontId="13" fillId="0" borderId="9" xfId="0" applyFont="1" applyBorder="1"/>
    <xf numFmtId="0" fontId="11" fillId="0" borderId="9" xfId="0" applyFont="1" applyBorder="1" applyAlignment="1">
      <alignment horizontal="right"/>
    </xf>
    <xf numFmtId="0" fontId="14" fillId="0" borderId="1" xfId="0" applyFont="1" applyBorder="1" applyAlignment="1">
      <alignment horizontal="center"/>
    </xf>
    <xf numFmtId="0" fontId="15" fillId="0" borderId="0" xfId="0" applyFont="1"/>
    <xf numFmtId="0" fontId="9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6" borderId="1" xfId="0" applyFont="1" applyFill="1" applyBorder="1"/>
    <xf numFmtId="0" fontId="1" fillId="6" borderId="1" xfId="0" applyFont="1" applyFill="1" applyBorder="1" applyAlignment="1">
      <alignment horizontal="center"/>
    </xf>
    <xf numFmtId="0" fontId="16" fillId="0" borderId="0" xfId="0" applyFont="1"/>
    <xf numFmtId="0" fontId="9" fillId="0" borderId="0" xfId="0" applyFont="1" applyBorder="1" applyAlignment="1">
      <alignment horizontal="center"/>
    </xf>
    <xf numFmtId="0" fontId="3" fillId="2" borderId="0" xfId="0" applyFont="1" applyFill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7" fillId="0" borderId="2" xfId="0" applyFont="1" applyBorder="1" applyAlignment="1">
      <alignment horizontal="center" wrapText="1"/>
    </xf>
    <xf numFmtId="0" fontId="7" fillId="0" borderId="3" xfId="0" applyFont="1" applyBorder="1" applyAlignment="1">
      <alignment horizontal="center" wrapText="1"/>
    </xf>
    <xf numFmtId="0" fontId="7" fillId="0" borderId="4" xfId="0" applyFont="1" applyBorder="1" applyAlignment="1">
      <alignment horizontal="center" wrapText="1"/>
    </xf>
    <xf numFmtId="0" fontId="4" fillId="2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 vertical="center" textRotation="90" wrapText="1"/>
    </xf>
    <xf numFmtId="0" fontId="1" fillId="3" borderId="3" xfId="0" applyFont="1" applyFill="1" applyBorder="1" applyAlignment="1">
      <alignment horizontal="center" vertical="center" textRotation="90" wrapText="1"/>
    </xf>
    <xf numFmtId="0" fontId="1" fillId="3" borderId="4" xfId="0" applyFont="1" applyFill="1" applyBorder="1" applyAlignment="1">
      <alignment horizontal="center" vertical="center" textRotation="90" wrapText="1"/>
    </xf>
    <xf numFmtId="0" fontId="9" fillId="6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left"/>
    </xf>
    <xf numFmtId="0" fontId="1" fillId="4" borderId="6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center" vertical="center" textRotation="90" wrapText="1"/>
    </xf>
    <xf numFmtId="0" fontId="9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left" vertical="center"/>
    </xf>
    <xf numFmtId="0" fontId="1" fillId="4" borderId="6" xfId="0" applyFont="1" applyFill="1" applyBorder="1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5000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cat>
          <c:val>
            <c:numRef>
              <c:f>Графики!$C$4:$C$11</c:f>
              <c:numCache>
                <c:formatCode>General</c:formatCode>
                <c:ptCount val="8"/>
                <c:pt idx="0">
                  <c:v>40525</c:v>
                </c:pt>
                <c:pt idx="1">
                  <c:v>40933</c:v>
                </c:pt>
                <c:pt idx="2">
                  <c:v>34657</c:v>
                </c:pt>
                <c:pt idx="3">
                  <c:v>38071</c:v>
                </c:pt>
                <c:pt idx="4">
                  <c:v>37594</c:v>
                </c:pt>
                <c:pt idx="5">
                  <c:v>36931</c:v>
                </c:pt>
                <c:pt idx="6">
                  <c:v>40896</c:v>
                </c:pt>
                <c:pt idx="7">
                  <c:v>39364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EE-49E8-A7D9-F83A800C7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30848"/>
        <c:axId val="141640832"/>
      </c:lineChart>
      <c:catAx>
        <c:axId val="141630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40832"/>
        <c:crosses val="autoZero"/>
        <c:auto val="1"/>
        <c:lblAlgn val="ctr"/>
        <c:lblOffset val="100"/>
        <c:noMultiLvlLbl val="0"/>
      </c:catAx>
      <c:valAx>
        <c:axId val="141640832"/>
        <c:scaling>
          <c:orientation val="minMax"/>
          <c:min val="3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30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3000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cat>
          <c:val>
            <c:numRef>
              <c:f>Графики!$D$4:$D$11</c:f>
              <c:numCache>
                <c:formatCode>General</c:formatCode>
                <c:ptCount val="8"/>
                <c:pt idx="0">
                  <c:v>8737</c:v>
                </c:pt>
                <c:pt idx="1">
                  <c:v>8116</c:v>
                </c:pt>
                <c:pt idx="2">
                  <c:v>7387</c:v>
                </c:pt>
                <c:pt idx="3">
                  <c:v>7472</c:v>
                </c:pt>
                <c:pt idx="4">
                  <c:v>7389</c:v>
                </c:pt>
                <c:pt idx="5">
                  <c:v>8155</c:v>
                </c:pt>
                <c:pt idx="6">
                  <c:v>8411</c:v>
                </c:pt>
                <c:pt idx="7">
                  <c:v>7844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1F-4E7F-9011-07057B53A2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85504"/>
        <c:axId val="141687040"/>
      </c:lineChart>
      <c:catAx>
        <c:axId val="14168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7040"/>
        <c:crosses val="autoZero"/>
        <c:auto val="1"/>
        <c:lblAlgn val="ctr"/>
        <c:lblOffset val="100"/>
        <c:noMultiLvlLbl val="0"/>
      </c:catAx>
      <c:valAx>
        <c:axId val="141687040"/>
        <c:scaling>
          <c:orientation val="minMax"/>
          <c:min val="72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5504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0"/>
            </a:pPr>
            <a:r>
              <a:rPr lang="en-US" sz="1400" b="0"/>
              <a:t>n = 5000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rgbClr val="FF0000"/>
              </a:solidFill>
            </a:ln>
          </c:spPr>
          <c:marker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cat>
            <c:numRef>
              <c:f>Графики!$B$15:$B$21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</c:numCache>
            </c:numRef>
          </c:cat>
          <c:val>
            <c:numRef>
              <c:f>Графики!$C$15:$C$21</c:f>
              <c:numCache>
                <c:formatCode>General</c:formatCode>
                <c:ptCount val="7"/>
                <c:pt idx="0">
                  <c:v>21978</c:v>
                </c:pt>
                <c:pt idx="1">
                  <c:v>18990</c:v>
                </c:pt>
                <c:pt idx="2">
                  <c:v>18915</c:v>
                </c:pt>
                <c:pt idx="3">
                  <c:v>19263</c:v>
                </c:pt>
                <c:pt idx="4">
                  <c:v>19123</c:v>
                </c:pt>
                <c:pt idx="5">
                  <c:v>19536</c:v>
                </c:pt>
                <c:pt idx="6">
                  <c:v>20535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6B-42BF-B001-B92726F269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061824"/>
        <c:axId val="130781568"/>
      </c:lineChart>
      <c:catAx>
        <c:axId val="130061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0781568"/>
        <c:crosses val="autoZero"/>
        <c:auto val="1"/>
        <c:lblAlgn val="ctr"/>
        <c:lblOffset val="100"/>
        <c:noMultiLvlLbl val="0"/>
      </c:catAx>
      <c:valAx>
        <c:axId val="130781568"/>
        <c:scaling>
          <c:orientation val="minMax"/>
          <c:min val="1850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0061824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0"/>
            </a:pPr>
            <a:r>
              <a:rPr lang="en-US" sz="1400" b="0"/>
              <a:t>n = 3000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rgbClr val="FF0000"/>
              </a:solidFill>
            </a:ln>
          </c:spPr>
          <c:marker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cat>
            <c:numRef>
              <c:f>Графики!$B$15:$B$21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</c:numCache>
            </c:numRef>
          </c:cat>
          <c:val>
            <c:numRef>
              <c:f>Графики!$D$15:$D$21</c:f>
              <c:numCache>
                <c:formatCode>General</c:formatCode>
                <c:ptCount val="7"/>
                <c:pt idx="0">
                  <c:v>4557</c:v>
                </c:pt>
                <c:pt idx="1">
                  <c:v>3948</c:v>
                </c:pt>
                <c:pt idx="2">
                  <c:v>3448</c:v>
                </c:pt>
                <c:pt idx="3">
                  <c:v>3554</c:v>
                </c:pt>
                <c:pt idx="4">
                  <c:v>3538</c:v>
                </c:pt>
                <c:pt idx="5">
                  <c:v>3696</c:v>
                </c:pt>
                <c:pt idx="6">
                  <c:v>4272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B7-409F-BFC7-51EFCBAB1D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556416"/>
        <c:axId val="142235520"/>
      </c:lineChart>
      <c:catAx>
        <c:axId val="1285564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42235520"/>
        <c:crosses val="autoZero"/>
        <c:auto val="1"/>
        <c:lblAlgn val="ctr"/>
        <c:lblOffset val="100"/>
        <c:noMultiLvlLbl val="0"/>
      </c:catAx>
      <c:valAx>
        <c:axId val="142235520"/>
        <c:scaling>
          <c:orientation val="minMax"/>
          <c:min val="325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28556416"/>
        <c:crosses val="autoZero"/>
        <c:crossBetween val="between"/>
        <c:majorUnit val="250"/>
      </c:valAx>
    </c:plotArea>
    <c:plotVisOnly val="1"/>
    <c:dispBlanksAs val="gap"/>
    <c:showDLblsOverMax val="0"/>
  </c:chart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Графики!$C$37:$C$44</c:f>
              <c:numCache>
                <c:formatCode>General</c:formatCode>
                <c:ptCount val="8"/>
                <c:pt idx="0">
                  <c:v>1</c:v>
                </c:pt>
                <c:pt idx="1">
                  <c:v>1.8242039634825207</c:v>
                </c:pt>
                <c:pt idx="2">
                  <c:v>2.8695271453590192</c:v>
                </c:pt>
                <c:pt idx="3">
                  <c:v>3.3804415102125027</c:v>
                </c:pt>
                <c:pt idx="4">
                  <c:v>3.8790246212121211</c:v>
                </c:pt>
                <c:pt idx="5">
                  <c:v>3.8069237918215615</c:v>
                </c:pt>
                <c:pt idx="6">
                  <c:v>3.846244131455399</c:v>
                </c:pt>
                <c:pt idx="7">
                  <c:v>3.8220200606484722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953-434D-9938-58BE01086F56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953-434D-9938-58BE01086F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Графики!$D$37:$D$44</c:f>
              <c:numCache>
                <c:formatCode>General</c:formatCode>
                <c:ptCount val="8"/>
                <c:pt idx="0">
                  <c:v>1</c:v>
                </c:pt>
                <c:pt idx="1">
                  <c:v>1.750242013552759</c:v>
                </c:pt>
                <c:pt idx="2">
                  <c:v>2.5286713286713285</c:v>
                </c:pt>
                <c:pt idx="3">
                  <c:v>2.9834983498349836</c:v>
                </c:pt>
                <c:pt idx="4">
                  <c:v>3.0386554621848738</c:v>
                </c:pt>
                <c:pt idx="5">
                  <c:v>2.8250000000000002</c:v>
                </c:pt>
                <c:pt idx="6">
                  <c:v>2.6588235294117646</c:v>
                </c:pt>
                <c:pt idx="7">
                  <c:v>2.6432748538011697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86-4284-B95C-248E82DB5EA3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86-4284-B95C-248E82DB5E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Графики!$C$47:$C$54</c:f>
              <c:numCache>
                <c:formatCode>General</c:formatCode>
                <c:ptCount val="8"/>
                <c:pt idx="0">
                  <c:v>1</c:v>
                </c:pt>
                <c:pt idx="1">
                  <c:v>0.91210198174126034</c:v>
                </c:pt>
                <c:pt idx="2">
                  <c:v>0.7173817863397548</c:v>
                </c:pt>
                <c:pt idx="3">
                  <c:v>0.56340691836875045</c:v>
                </c:pt>
                <c:pt idx="4">
                  <c:v>0.48487807765151514</c:v>
                </c:pt>
                <c:pt idx="5">
                  <c:v>0.38069237918215615</c:v>
                </c:pt>
                <c:pt idx="6">
                  <c:v>0.3205203442879499</c:v>
                </c:pt>
                <c:pt idx="7">
                  <c:v>0.23887625379052951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159-4A72-9982-48C3352142CC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1159-4A72-9982-48C3352142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Графики!$D$47:$D$54</c:f>
              <c:numCache>
                <c:formatCode>General</c:formatCode>
                <c:ptCount val="8"/>
                <c:pt idx="0">
                  <c:v>1</c:v>
                </c:pt>
                <c:pt idx="1">
                  <c:v>0.8751210067763795</c:v>
                </c:pt>
                <c:pt idx="2">
                  <c:v>0.63216783216783212</c:v>
                </c:pt>
                <c:pt idx="3">
                  <c:v>0.49724972497249725</c:v>
                </c:pt>
                <c:pt idx="4">
                  <c:v>0.37983193277310923</c:v>
                </c:pt>
                <c:pt idx="5">
                  <c:v>0.28250000000000003</c:v>
                </c:pt>
                <c:pt idx="6">
                  <c:v>0.22156862745098038</c:v>
                </c:pt>
                <c:pt idx="7">
                  <c:v>0.1652046783625731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49-4D16-8331-ED141334A505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8D49-4D16-8331-ED141334A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Графики!$C$27:$C$34</c:f>
              <c:numCache>
                <c:formatCode>General</c:formatCode>
                <c:ptCount val="8"/>
                <c:pt idx="0">
                  <c:v>16385</c:v>
                </c:pt>
                <c:pt idx="1">
                  <c:v>8982</c:v>
                </c:pt>
                <c:pt idx="2">
                  <c:v>5710</c:v>
                </c:pt>
                <c:pt idx="3">
                  <c:v>4847</c:v>
                </c:pt>
                <c:pt idx="4">
                  <c:v>4224</c:v>
                </c:pt>
                <c:pt idx="5">
                  <c:v>4304</c:v>
                </c:pt>
                <c:pt idx="6">
                  <c:v>4260</c:v>
                </c:pt>
                <c:pt idx="7">
                  <c:v>4287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8F-4439-A6B7-C68E2870A1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Графики!$D$27:$D$34</c:f>
              <c:numCache>
                <c:formatCode>General</c:formatCode>
                <c:ptCount val="8"/>
                <c:pt idx="0">
                  <c:v>3616</c:v>
                </c:pt>
                <c:pt idx="1">
                  <c:v>2066</c:v>
                </c:pt>
                <c:pt idx="2">
                  <c:v>1430</c:v>
                </c:pt>
                <c:pt idx="3">
                  <c:v>1212</c:v>
                </c:pt>
                <c:pt idx="4">
                  <c:v>1190</c:v>
                </c:pt>
                <c:pt idx="5">
                  <c:v>1280</c:v>
                </c:pt>
                <c:pt idx="6">
                  <c:v>1360</c:v>
                </c:pt>
                <c:pt idx="7">
                  <c:v>1368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AE-4FD3-88ED-A1FDD7309A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Графики!$C$68:$C$75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22-4B7C-ABEF-3A88EA753DD9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022-4B7C-ABEF-3A88EA753D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Графики!$D$68:$D$75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C5-44D9-B7E4-2A2EF4F1B832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DC5-44D9-B7E4-2A2EF4F1B8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Графики!$C$78:$C$85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ADF-48D9-B6B8-AB5F0BB0BF77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DADF-48D9-B6B8-AB5F0BB0BF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Графики!$D$78:$D$85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14B-4F22-9404-2361519B1878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114B-4F22-9404-2361519B18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Графики!$C$58:$C$65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FF-4FC3-A31F-3D5A35CFE7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Графики!$D$58:$D$65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BFD-4F5A-B82A-5008413302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9054</xdr:colOff>
      <xdr:row>12</xdr:row>
      <xdr:rowOff>113168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8012317" y="2829208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25</xdr:row>
      <xdr:rowOff>113168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9596674" y="2829208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38</xdr:row>
      <xdr:rowOff>113168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9596674" y="5771584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51</xdr:row>
      <xdr:rowOff>113168</xdr:rowOff>
    </xdr:from>
    <xdr:ext cx="65" cy="17222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9E00BDC-B281-41DE-A145-891E1532423F}"/>
            </a:ext>
          </a:extLst>
        </xdr:cNvPr>
        <xdr:cNvSpPr txBox="1"/>
      </xdr:nvSpPr>
      <xdr:spPr>
        <a:xfrm>
          <a:off x="9252642" y="871396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8</xdr:col>
      <xdr:colOff>887240</xdr:colOff>
      <xdr:row>10</xdr:row>
      <xdr:rowOff>253497</xdr:rowOff>
    </xdr:to>
    <xdr:graphicFrame macro="">
      <xdr:nvGraphicFramePr>
        <xdr:cNvPr id="21" name="Диаграмма 20">
          <a:extLst>
            <a:ext uri="{FF2B5EF4-FFF2-40B4-BE49-F238E27FC236}">
              <a16:creationId xmlns:a16="http://schemas.microsoft.com/office/drawing/2014/main" id="{46EFB198-613C-41EB-92C2-302FD70196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13</xdr:col>
      <xdr:colOff>887239</xdr:colOff>
      <xdr:row>10</xdr:row>
      <xdr:rowOff>244519</xdr:rowOff>
    </xdr:to>
    <xdr:graphicFrame macro="">
      <xdr:nvGraphicFramePr>
        <xdr:cNvPr id="22" name="Диаграмма 21">
          <a:extLst>
            <a:ext uri="{FF2B5EF4-FFF2-40B4-BE49-F238E27FC236}">
              <a16:creationId xmlns:a16="http://schemas.microsoft.com/office/drawing/2014/main" id="{9B0B393B-00E7-4859-B5CE-3D4C90F4A0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12</xdr:row>
      <xdr:rowOff>0</xdr:rowOff>
    </xdr:from>
    <xdr:to>
      <xdr:col>8</xdr:col>
      <xdr:colOff>887240</xdr:colOff>
      <xdr:row>20</xdr:row>
      <xdr:rowOff>262550</xdr:rowOff>
    </xdr:to>
    <xdr:graphicFrame macro="">
      <xdr:nvGraphicFramePr>
        <xdr:cNvPr id="23" name="Диаграмма 22">
          <a:extLst>
            <a:ext uri="{FF2B5EF4-FFF2-40B4-BE49-F238E27FC236}">
              <a16:creationId xmlns:a16="http://schemas.microsoft.com/office/drawing/2014/main" id="{EC7763B0-D6A2-40FC-AABC-A0C2C7C862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12</xdr:row>
      <xdr:rowOff>0</xdr:rowOff>
    </xdr:from>
    <xdr:to>
      <xdr:col>13</xdr:col>
      <xdr:colOff>896347</xdr:colOff>
      <xdr:row>20</xdr:row>
      <xdr:rowOff>253225</xdr:rowOff>
    </xdr:to>
    <xdr:graphicFrame macro="">
      <xdr:nvGraphicFramePr>
        <xdr:cNvPr id="24" name="Диаграмма 23">
          <a:extLst>
            <a:ext uri="{FF2B5EF4-FFF2-40B4-BE49-F238E27FC236}">
              <a16:creationId xmlns:a16="http://schemas.microsoft.com/office/drawing/2014/main" id="{C2B63319-8D26-419E-BF23-B2F93296BA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0</xdr:colOff>
      <xdr:row>34</xdr:row>
      <xdr:rowOff>0</xdr:rowOff>
    </xdr:from>
    <xdr:to>
      <xdr:col>8</xdr:col>
      <xdr:colOff>878187</xdr:colOff>
      <xdr:row>44</xdr:row>
      <xdr:rowOff>27161</xdr:rowOff>
    </xdr:to>
    <xdr:graphicFrame macro="">
      <xdr:nvGraphicFramePr>
        <xdr:cNvPr id="39" name="Диаграмма 38">
          <a:extLst>
            <a:ext uri="{FF2B5EF4-FFF2-40B4-BE49-F238E27FC236}">
              <a16:creationId xmlns:a16="http://schemas.microsoft.com/office/drawing/2014/main" id="{CEEFFAA9-CDD4-49DE-87E8-B65F14245D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0</xdr:colOff>
      <xdr:row>34</xdr:row>
      <xdr:rowOff>0</xdr:rowOff>
    </xdr:from>
    <xdr:to>
      <xdr:col>13</xdr:col>
      <xdr:colOff>878187</xdr:colOff>
      <xdr:row>44</xdr:row>
      <xdr:rowOff>27161</xdr:rowOff>
    </xdr:to>
    <xdr:graphicFrame macro="">
      <xdr:nvGraphicFramePr>
        <xdr:cNvPr id="40" name="Диаграмма 39">
          <a:extLst>
            <a:ext uri="{FF2B5EF4-FFF2-40B4-BE49-F238E27FC236}">
              <a16:creationId xmlns:a16="http://schemas.microsoft.com/office/drawing/2014/main" id="{FA9EC366-D93E-4462-AF26-C52CF10512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0</xdr:colOff>
      <xdr:row>44</xdr:row>
      <xdr:rowOff>0</xdr:rowOff>
    </xdr:from>
    <xdr:to>
      <xdr:col>8</xdr:col>
      <xdr:colOff>878187</xdr:colOff>
      <xdr:row>54</xdr:row>
      <xdr:rowOff>27160</xdr:rowOff>
    </xdr:to>
    <xdr:graphicFrame macro="">
      <xdr:nvGraphicFramePr>
        <xdr:cNvPr id="41" name="Диаграмма 40">
          <a:extLst>
            <a:ext uri="{FF2B5EF4-FFF2-40B4-BE49-F238E27FC236}">
              <a16:creationId xmlns:a16="http://schemas.microsoft.com/office/drawing/2014/main" id="{2EA5D905-7AD3-4F4F-979D-1A27845281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0</xdr:colOff>
      <xdr:row>44</xdr:row>
      <xdr:rowOff>0</xdr:rowOff>
    </xdr:from>
    <xdr:to>
      <xdr:col>13</xdr:col>
      <xdr:colOff>878187</xdr:colOff>
      <xdr:row>54</xdr:row>
      <xdr:rowOff>27160</xdr:rowOff>
    </xdr:to>
    <xdr:graphicFrame macro="">
      <xdr:nvGraphicFramePr>
        <xdr:cNvPr id="42" name="Диаграмма 41">
          <a:extLst>
            <a:ext uri="{FF2B5EF4-FFF2-40B4-BE49-F238E27FC236}">
              <a16:creationId xmlns:a16="http://schemas.microsoft.com/office/drawing/2014/main" id="{D4E4D168-B8E9-464B-BD8D-A9C0BF1589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0</xdr:colOff>
      <xdr:row>24</xdr:row>
      <xdr:rowOff>0</xdr:rowOff>
    </xdr:from>
    <xdr:to>
      <xdr:col>8</xdr:col>
      <xdr:colOff>878187</xdr:colOff>
      <xdr:row>34</xdr:row>
      <xdr:rowOff>27160</xdr:rowOff>
    </xdr:to>
    <xdr:graphicFrame macro="">
      <xdr:nvGraphicFramePr>
        <xdr:cNvPr id="43" name="Диаграмма 42">
          <a:extLst>
            <a:ext uri="{FF2B5EF4-FFF2-40B4-BE49-F238E27FC236}">
              <a16:creationId xmlns:a16="http://schemas.microsoft.com/office/drawing/2014/main" id="{DBF94A7E-EFA8-49BE-AC2F-14757EF9C4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0</xdr:colOff>
      <xdr:row>24</xdr:row>
      <xdr:rowOff>0</xdr:rowOff>
    </xdr:from>
    <xdr:to>
      <xdr:col>13</xdr:col>
      <xdr:colOff>878187</xdr:colOff>
      <xdr:row>34</xdr:row>
      <xdr:rowOff>27160</xdr:rowOff>
    </xdr:to>
    <xdr:graphicFrame macro="">
      <xdr:nvGraphicFramePr>
        <xdr:cNvPr id="45" name="Диаграмма 44">
          <a:extLst>
            <a:ext uri="{FF2B5EF4-FFF2-40B4-BE49-F238E27FC236}">
              <a16:creationId xmlns:a16="http://schemas.microsoft.com/office/drawing/2014/main" id="{49C2AEEA-2967-4389-8202-4311AA2F6F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</xdr:col>
      <xdr:colOff>0</xdr:colOff>
      <xdr:row>65</xdr:row>
      <xdr:rowOff>1</xdr:rowOff>
    </xdr:from>
    <xdr:to>
      <xdr:col>8</xdr:col>
      <xdr:colOff>878187</xdr:colOff>
      <xdr:row>75</xdr:row>
      <xdr:rowOff>27161</xdr:rowOff>
    </xdr:to>
    <xdr:graphicFrame macro="">
      <xdr:nvGraphicFramePr>
        <xdr:cNvPr id="46" name="Диаграмма 45">
          <a:extLst>
            <a:ext uri="{FF2B5EF4-FFF2-40B4-BE49-F238E27FC236}">
              <a16:creationId xmlns:a16="http://schemas.microsoft.com/office/drawing/2014/main" id="{64262D13-93F3-4E82-9052-7897680357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0</xdr:colOff>
      <xdr:row>65</xdr:row>
      <xdr:rowOff>1</xdr:rowOff>
    </xdr:from>
    <xdr:to>
      <xdr:col>13</xdr:col>
      <xdr:colOff>878187</xdr:colOff>
      <xdr:row>75</xdr:row>
      <xdr:rowOff>27161</xdr:rowOff>
    </xdr:to>
    <xdr:graphicFrame macro="">
      <xdr:nvGraphicFramePr>
        <xdr:cNvPr id="47" name="Диаграмма 46">
          <a:extLst>
            <a:ext uri="{FF2B5EF4-FFF2-40B4-BE49-F238E27FC236}">
              <a16:creationId xmlns:a16="http://schemas.microsoft.com/office/drawing/2014/main" id="{F9A40031-D620-48C0-B131-E06B95C85A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</xdr:col>
      <xdr:colOff>0</xdr:colOff>
      <xdr:row>75</xdr:row>
      <xdr:rowOff>0</xdr:rowOff>
    </xdr:from>
    <xdr:to>
      <xdr:col>8</xdr:col>
      <xdr:colOff>878187</xdr:colOff>
      <xdr:row>85</xdr:row>
      <xdr:rowOff>27160</xdr:rowOff>
    </xdr:to>
    <xdr:graphicFrame macro="">
      <xdr:nvGraphicFramePr>
        <xdr:cNvPr id="48" name="Диаграмма 47">
          <a:extLst>
            <a:ext uri="{FF2B5EF4-FFF2-40B4-BE49-F238E27FC236}">
              <a16:creationId xmlns:a16="http://schemas.microsoft.com/office/drawing/2014/main" id="{A60C7725-B63C-4615-BB5B-334AEB68B5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9</xdr:col>
      <xdr:colOff>0</xdr:colOff>
      <xdr:row>75</xdr:row>
      <xdr:rowOff>0</xdr:rowOff>
    </xdr:from>
    <xdr:to>
      <xdr:col>13</xdr:col>
      <xdr:colOff>878187</xdr:colOff>
      <xdr:row>85</xdr:row>
      <xdr:rowOff>27160</xdr:rowOff>
    </xdr:to>
    <xdr:graphicFrame macro="">
      <xdr:nvGraphicFramePr>
        <xdr:cNvPr id="49" name="Диаграмма 48">
          <a:extLst>
            <a:ext uri="{FF2B5EF4-FFF2-40B4-BE49-F238E27FC236}">
              <a16:creationId xmlns:a16="http://schemas.microsoft.com/office/drawing/2014/main" id="{F5B729C2-7526-4EB1-BDCF-DA4F76FB55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</xdr:col>
      <xdr:colOff>0</xdr:colOff>
      <xdr:row>55</xdr:row>
      <xdr:rowOff>0</xdr:rowOff>
    </xdr:from>
    <xdr:to>
      <xdr:col>8</xdr:col>
      <xdr:colOff>878187</xdr:colOff>
      <xdr:row>65</xdr:row>
      <xdr:rowOff>27161</xdr:rowOff>
    </xdr:to>
    <xdr:graphicFrame macro="">
      <xdr:nvGraphicFramePr>
        <xdr:cNvPr id="50" name="Диаграмма 49">
          <a:extLst>
            <a:ext uri="{FF2B5EF4-FFF2-40B4-BE49-F238E27FC236}">
              <a16:creationId xmlns:a16="http://schemas.microsoft.com/office/drawing/2014/main" id="{9361E4D9-2B14-42F6-AB72-29D6457C71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0</xdr:colOff>
      <xdr:row>55</xdr:row>
      <xdr:rowOff>0</xdr:rowOff>
    </xdr:from>
    <xdr:to>
      <xdr:col>13</xdr:col>
      <xdr:colOff>878187</xdr:colOff>
      <xdr:row>65</xdr:row>
      <xdr:rowOff>27161</xdr:rowOff>
    </xdr:to>
    <xdr:graphicFrame macro="">
      <xdr:nvGraphicFramePr>
        <xdr:cNvPr id="51" name="Диаграмма 50">
          <a:extLst>
            <a:ext uri="{FF2B5EF4-FFF2-40B4-BE49-F238E27FC236}">
              <a16:creationId xmlns:a16="http://schemas.microsoft.com/office/drawing/2014/main" id="{61DA86FA-5BC1-4237-BB3F-5A4A5198FD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208229</xdr:colOff>
      <xdr:row>0</xdr:row>
      <xdr:rowOff>162962</xdr:rowOff>
    </xdr:from>
    <xdr:to>
      <xdr:col>10</xdr:col>
      <xdr:colOff>57156</xdr:colOff>
      <xdr:row>18</xdr:row>
      <xdr:rowOff>273426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AF8B7F6-D74A-4CDC-B0AF-980BCBE24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8229" y="162962"/>
          <a:ext cx="5643145" cy="5162298"/>
        </a:xfrm>
        <a:prstGeom prst="rect">
          <a:avLst/>
        </a:prstGeom>
      </xdr:spPr>
    </xdr:pic>
    <xdr:clientData/>
  </xdr:twoCellAnchor>
  <xdr:twoCellAnchor editAs="oneCell">
    <xdr:from>
      <xdr:col>10</xdr:col>
      <xdr:colOff>181069</xdr:colOff>
      <xdr:row>0</xdr:row>
      <xdr:rowOff>262550</xdr:rowOff>
    </xdr:from>
    <xdr:to>
      <xdr:col>21</xdr:col>
      <xdr:colOff>176382</xdr:colOff>
      <xdr:row>6</xdr:row>
      <xdr:rowOff>257032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221F9B8A-2F8A-4250-B9AE-2A1DBD2826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975287" y="262550"/>
          <a:ext cx="6368952" cy="167842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5"/>
  <sheetViews>
    <sheetView topLeftCell="A34" workbookViewId="0">
      <selection activeCell="D59" sqref="D59"/>
    </sheetView>
  </sheetViews>
  <sheetFormatPr defaultRowHeight="17.850000000000001" x14ac:dyDescent="0.25"/>
  <cols>
    <col min="1" max="1" width="65.7109375" style="1" customWidth="1"/>
    <col min="2" max="5" width="26.7109375" style="1" customWidth="1"/>
    <col min="6" max="6" width="9.140625" style="1"/>
    <col min="7" max="7" width="23.140625" style="1" bestFit="1" customWidth="1"/>
    <col min="8" max="9" width="24.85546875" style="1" customWidth="1"/>
    <col min="10" max="16384" width="9.140625" style="1"/>
  </cols>
  <sheetData>
    <row r="1" spans="1:23" x14ac:dyDescent="0.25">
      <c r="A1" s="2" t="s">
        <v>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1:23" x14ac:dyDescent="0.25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spans="1:23" x14ac:dyDescent="0.25">
      <c r="A3" s="6" t="s">
        <v>2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5" spans="1:23" ht="17.850000000000001" customHeight="1" x14ac:dyDescent="0.25">
      <c r="A5" s="52" t="s">
        <v>22</v>
      </c>
      <c r="B5" s="53"/>
      <c r="C5" s="53"/>
      <c r="D5" s="53"/>
      <c r="E5" s="54"/>
      <c r="G5" s="48" t="s">
        <v>3</v>
      </c>
      <c r="H5" s="48"/>
      <c r="S5" s="5"/>
      <c r="T5" s="14"/>
      <c r="U5" s="14"/>
      <c r="V5" s="14"/>
      <c r="W5" s="14"/>
    </row>
    <row r="6" spans="1:23" x14ac:dyDescent="0.25">
      <c r="A6" s="4" t="s">
        <v>4</v>
      </c>
      <c r="B6" s="50" t="s">
        <v>5</v>
      </c>
      <c r="C6" s="50"/>
      <c r="D6" s="50"/>
      <c r="E6" s="50"/>
      <c r="G6" s="48"/>
      <c r="H6" s="48"/>
      <c r="S6" s="14"/>
      <c r="T6" s="14"/>
      <c r="U6" s="14"/>
      <c r="V6" s="14"/>
      <c r="W6" s="14"/>
    </row>
    <row r="7" spans="1:23" x14ac:dyDescent="0.25">
      <c r="A7" s="3" t="s">
        <v>6</v>
      </c>
      <c r="B7" s="7">
        <v>1000</v>
      </c>
      <c r="C7" s="7">
        <v>3000</v>
      </c>
      <c r="D7" s="8">
        <v>7000</v>
      </c>
      <c r="E7" s="8">
        <v>10000</v>
      </c>
      <c r="G7" s="48"/>
      <c r="H7" s="48"/>
      <c r="S7" s="14"/>
      <c r="T7" s="14"/>
      <c r="U7" s="14"/>
      <c r="V7" s="14"/>
      <c r="W7" s="14"/>
    </row>
    <row r="8" spans="1:23" x14ac:dyDescent="0.25">
      <c r="A8" s="51" t="s">
        <v>11</v>
      </c>
      <c r="B8" s="51"/>
      <c r="C8" s="51"/>
      <c r="D8" s="51"/>
      <c r="E8" s="51"/>
      <c r="G8" s="48"/>
      <c r="H8" s="48"/>
      <c r="S8" s="14"/>
      <c r="T8" s="14"/>
      <c r="U8" s="14"/>
      <c r="V8" s="14"/>
      <c r="W8" s="14"/>
    </row>
    <row r="9" spans="1:23" x14ac:dyDescent="0.25">
      <c r="A9" s="3" t="s">
        <v>7</v>
      </c>
      <c r="B9" s="9">
        <v>20</v>
      </c>
      <c r="C9" s="10">
        <v>197</v>
      </c>
      <c r="D9" s="10">
        <v>1042</v>
      </c>
      <c r="E9" s="10">
        <v>1746</v>
      </c>
      <c r="S9" s="14"/>
      <c r="T9" s="14"/>
      <c r="U9" s="14"/>
      <c r="V9" s="14"/>
      <c r="W9" s="14"/>
    </row>
    <row r="10" spans="1:23" x14ac:dyDescent="0.25">
      <c r="A10" s="3" t="s">
        <v>8</v>
      </c>
      <c r="B10" s="9">
        <v>753</v>
      </c>
      <c r="C10" s="10" t="s">
        <v>13</v>
      </c>
      <c r="D10" s="10" t="s">
        <v>15</v>
      </c>
      <c r="E10" s="10" t="s">
        <v>17</v>
      </c>
      <c r="S10" s="5"/>
      <c r="T10" s="5"/>
      <c r="U10" s="5"/>
      <c r="V10" s="5"/>
      <c r="W10" s="5"/>
    </row>
    <row r="11" spans="1:23" x14ac:dyDescent="0.25">
      <c r="A11" s="3" t="s">
        <v>9</v>
      </c>
      <c r="B11" s="9">
        <v>776</v>
      </c>
      <c r="C11" s="10" t="s">
        <v>14</v>
      </c>
      <c r="D11" s="10" t="s">
        <v>16</v>
      </c>
      <c r="E11" s="10" t="s">
        <v>18</v>
      </c>
      <c r="F11" s="5"/>
      <c r="G11" s="5"/>
      <c r="S11" s="5"/>
      <c r="T11" s="5"/>
      <c r="U11" s="5"/>
      <c r="V11" s="5"/>
      <c r="W11" s="5"/>
    </row>
    <row r="12" spans="1:23" x14ac:dyDescent="0.25">
      <c r="A12" s="51" t="s">
        <v>12</v>
      </c>
      <c r="B12" s="51"/>
      <c r="C12" s="51"/>
      <c r="D12" s="51"/>
      <c r="E12" s="51"/>
      <c r="F12" s="5"/>
    </row>
    <row r="13" spans="1:23" x14ac:dyDescent="0.25">
      <c r="A13" s="3" t="s">
        <v>7</v>
      </c>
      <c r="B13" s="9">
        <v>20</v>
      </c>
      <c r="C13" s="10">
        <v>232</v>
      </c>
      <c r="D13" s="55" t="s">
        <v>21</v>
      </c>
      <c r="E13" s="10">
        <v>1811</v>
      </c>
      <c r="F13" s="5"/>
    </row>
    <row r="14" spans="1:23" x14ac:dyDescent="0.25">
      <c r="A14" s="3" t="s">
        <v>8</v>
      </c>
      <c r="B14" s="9">
        <v>904</v>
      </c>
      <c r="C14" s="10" t="s">
        <v>19</v>
      </c>
      <c r="D14" s="56"/>
      <c r="E14" s="10" t="s">
        <v>10</v>
      </c>
      <c r="F14" s="5"/>
      <c r="G14" s="5"/>
      <c r="H14" s="5"/>
    </row>
    <row r="15" spans="1:23" x14ac:dyDescent="0.25">
      <c r="A15" s="3" t="s">
        <v>9</v>
      </c>
      <c r="B15" s="9">
        <v>926</v>
      </c>
      <c r="C15" s="10" t="s">
        <v>20</v>
      </c>
      <c r="D15" s="57"/>
      <c r="E15" s="10" t="s">
        <v>10</v>
      </c>
    </row>
    <row r="18" spans="1:9" x14ac:dyDescent="0.25">
      <c r="A18" s="58" t="s">
        <v>32</v>
      </c>
      <c r="B18" s="58"/>
      <c r="C18" s="58"/>
      <c r="D18" s="58"/>
      <c r="E18" s="58"/>
    </row>
    <row r="19" spans="1:9" x14ac:dyDescent="0.25">
      <c r="A19" s="4" t="s">
        <v>4</v>
      </c>
      <c r="B19" s="50" t="s">
        <v>5</v>
      </c>
      <c r="C19" s="50"/>
      <c r="D19" s="50"/>
      <c r="E19" s="50"/>
    </row>
    <row r="20" spans="1:9" x14ac:dyDescent="0.25">
      <c r="A20" s="3" t="s">
        <v>6</v>
      </c>
      <c r="B20" s="11">
        <v>1000</v>
      </c>
      <c r="C20" s="11">
        <v>3000</v>
      </c>
      <c r="D20" s="8">
        <v>7000</v>
      </c>
      <c r="E20" s="8">
        <v>10000</v>
      </c>
    </row>
    <row r="21" spans="1:9" x14ac:dyDescent="0.25">
      <c r="A21" s="51" t="s">
        <v>11</v>
      </c>
      <c r="B21" s="51"/>
      <c r="C21" s="51"/>
      <c r="D21" s="51"/>
      <c r="E21" s="51"/>
    </row>
    <row r="22" spans="1:9" x14ac:dyDescent="0.25">
      <c r="A22" s="3" t="s">
        <v>7</v>
      </c>
      <c r="B22" s="9" t="s">
        <v>23</v>
      </c>
      <c r="C22" s="10" t="s">
        <v>26</v>
      </c>
      <c r="D22" s="10" t="s">
        <v>29</v>
      </c>
      <c r="E22" s="10" t="s">
        <v>33</v>
      </c>
    </row>
    <row r="23" spans="1:9" x14ac:dyDescent="0.25">
      <c r="A23" s="3" t="s">
        <v>8</v>
      </c>
      <c r="B23" s="9" t="s">
        <v>24</v>
      </c>
      <c r="C23" s="10" t="s">
        <v>27</v>
      </c>
      <c r="D23" s="10" t="s">
        <v>30</v>
      </c>
      <c r="E23" s="10" t="s">
        <v>34</v>
      </c>
    </row>
    <row r="24" spans="1:9" x14ac:dyDescent="0.25">
      <c r="A24" s="3" t="s">
        <v>9</v>
      </c>
      <c r="B24" s="9" t="s">
        <v>25</v>
      </c>
      <c r="C24" s="10" t="s">
        <v>28</v>
      </c>
      <c r="D24" s="10" t="s">
        <v>31</v>
      </c>
      <c r="E24" s="10" t="s">
        <v>35</v>
      </c>
      <c r="G24" s="18"/>
      <c r="H24" s="47"/>
      <c r="I24" s="47"/>
    </row>
    <row r="25" spans="1:9" x14ac:dyDescent="0.25">
      <c r="A25" s="51" t="s">
        <v>12</v>
      </c>
      <c r="B25" s="51"/>
      <c r="C25" s="51"/>
      <c r="D25" s="51"/>
      <c r="E25" s="51"/>
      <c r="G25" s="19"/>
      <c r="H25" s="17"/>
      <c r="I25" s="17"/>
    </row>
    <row r="26" spans="1:9" x14ac:dyDescent="0.25">
      <c r="A26" s="3" t="s">
        <v>7</v>
      </c>
      <c r="B26" s="9" t="s">
        <v>36</v>
      </c>
      <c r="C26" s="10" t="s">
        <v>39</v>
      </c>
      <c r="D26" s="10" t="s">
        <v>41</v>
      </c>
      <c r="E26" s="10" t="s">
        <v>46</v>
      </c>
      <c r="G26" s="20"/>
      <c r="H26" s="21"/>
      <c r="I26" s="22"/>
    </row>
    <row r="27" spans="1:9" x14ac:dyDescent="0.25">
      <c r="A27" s="3" t="s">
        <v>8</v>
      </c>
      <c r="B27" s="9" t="s">
        <v>37</v>
      </c>
      <c r="C27" s="10" t="s">
        <v>44</v>
      </c>
      <c r="D27" s="10" t="s">
        <v>42</v>
      </c>
      <c r="E27" s="10" t="s">
        <v>48</v>
      </c>
      <c r="G27" s="20"/>
      <c r="H27" s="21"/>
      <c r="I27" s="18"/>
    </row>
    <row r="28" spans="1:9" x14ac:dyDescent="0.25">
      <c r="A28" s="3" t="s">
        <v>9</v>
      </c>
      <c r="B28" s="9" t="s">
        <v>38</v>
      </c>
      <c r="C28" s="10" t="s">
        <v>45</v>
      </c>
      <c r="D28" s="10" t="s">
        <v>43</v>
      </c>
      <c r="E28" s="10" t="s">
        <v>49</v>
      </c>
      <c r="G28" s="23"/>
      <c r="H28" s="18"/>
      <c r="I28" s="18"/>
    </row>
    <row r="29" spans="1:9" x14ac:dyDescent="0.25">
      <c r="C29" s="1" t="s">
        <v>40</v>
      </c>
      <c r="D29" s="1" t="s">
        <v>47</v>
      </c>
      <c r="E29" s="1" t="s">
        <v>50</v>
      </c>
      <c r="G29" s="20"/>
      <c r="H29" s="21"/>
      <c r="I29" s="18"/>
    </row>
    <row r="30" spans="1:9" x14ac:dyDescent="0.25">
      <c r="G30" s="23"/>
      <c r="H30" s="18"/>
      <c r="I30" s="18"/>
    </row>
    <row r="31" spans="1:9" x14ac:dyDescent="0.25">
      <c r="A31" s="52" t="s">
        <v>70</v>
      </c>
      <c r="B31" s="53"/>
      <c r="C31" s="54"/>
      <c r="D31" s="59" t="s">
        <v>91</v>
      </c>
      <c r="E31" s="59" t="s">
        <v>91</v>
      </c>
      <c r="G31" s="20"/>
      <c r="H31" s="21"/>
      <c r="I31" s="18"/>
    </row>
    <row r="32" spans="1:9" x14ac:dyDescent="0.25">
      <c r="A32" s="4" t="s">
        <v>4</v>
      </c>
      <c r="B32" s="50" t="s">
        <v>5</v>
      </c>
      <c r="C32" s="50"/>
      <c r="D32" s="50"/>
      <c r="E32" s="50"/>
      <c r="G32" s="23"/>
      <c r="H32" s="18"/>
      <c r="I32" s="18"/>
    </row>
    <row r="33" spans="1:9" x14ac:dyDescent="0.25">
      <c r="A33" s="3" t="s">
        <v>6</v>
      </c>
      <c r="B33" s="12">
        <v>1000</v>
      </c>
      <c r="C33" s="12">
        <v>3000</v>
      </c>
      <c r="D33" s="8">
        <v>7000</v>
      </c>
      <c r="E33" s="8">
        <v>10000</v>
      </c>
      <c r="G33" s="20"/>
      <c r="H33" s="21"/>
      <c r="I33" s="18"/>
    </row>
    <row r="34" spans="1:9" x14ac:dyDescent="0.25">
      <c r="A34" s="51" t="s">
        <v>11</v>
      </c>
      <c r="B34" s="51"/>
      <c r="C34" s="51"/>
      <c r="D34" s="51"/>
      <c r="E34" s="51"/>
      <c r="G34" s="23"/>
      <c r="H34" s="18"/>
      <c r="I34" s="18"/>
    </row>
    <row r="35" spans="1:9" x14ac:dyDescent="0.25">
      <c r="A35" s="3" t="s">
        <v>7</v>
      </c>
      <c r="B35" s="9" t="s">
        <v>60</v>
      </c>
      <c r="C35" s="10" t="s">
        <v>57</v>
      </c>
      <c r="D35" s="10" t="s">
        <v>52</v>
      </c>
      <c r="E35" s="10" t="s">
        <v>51</v>
      </c>
      <c r="G35" s="23"/>
      <c r="H35" s="18"/>
      <c r="I35" s="18"/>
    </row>
    <row r="36" spans="1:9" x14ac:dyDescent="0.25">
      <c r="A36" s="3" t="s">
        <v>8</v>
      </c>
      <c r="B36" s="9" t="s">
        <v>61</v>
      </c>
      <c r="C36" s="10" t="s">
        <v>58</v>
      </c>
      <c r="D36" s="10" t="s">
        <v>55</v>
      </c>
      <c r="E36" s="10" t="s">
        <v>53</v>
      </c>
      <c r="G36" s="23"/>
      <c r="H36" s="18"/>
      <c r="I36" s="18"/>
    </row>
    <row r="37" spans="1:9" x14ac:dyDescent="0.25">
      <c r="A37" s="3" t="s">
        <v>9</v>
      </c>
      <c r="B37" s="9" t="s">
        <v>62</v>
      </c>
      <c r="C37" s="10" t="s">
        <v>59</v>
      </c>
      <c r="D37" s="10" t="s">
        <v>56</v>
      </c>
      <c r="E37" s="10" t="s">
        <v>54</v>
      </c>
      <c r="G37" s="20"/>
      <c r="H37" s="21"/>
      <c r="I37" s="18"/>
    </row>
    <row r="38" spans="1:9" x14ac:dyDescent="0.25">
      <c r="A38" s="51" t="s">
        <v>12</v>
      </c>
      <c r="B38" s="51"/>
      <c r="C38" s="51"/>
      <c r="D38" s="51"/>
      <c r="E38" s="51"/>
      <c r="G38" s="23"/>
      <c r="H38" s="18"/>
      <c r="I38" s="18"/>
    </row>
    <row r="39" spans="1:9" x14ac:dyDescent="0.25">
      <c r="A39" s="3" t="s">
        <v>7</v>
      </c>
      <c r="B39" s="9" t="s">
        <v>74</v>
      </c>
      <c r="C39" s="10" t="s">
        <v>71</v>
      </c>
      <c r="D39" s="10" t="s">
        <v>67</v>
      </c>
      <c r="E39" s="10" t="s">
        <v>63</v>
      </c>
      <c r="G39" s="23"/>
      <c r="H39" s="18"/>
      <c r="I39" s="18"/>
    </row>
    <row r="40" spans="1:9" x14ac:dyDescent="0.25">
      <c r="A40" s="3" t="s">
        <v>8</v>
      </c>
      <c r="B40" s="9" t="s">
        <v>75</v>
      </c>
      <c r="C40" s="10" t="s">
        <v>72</v>
      </c>
      <c r="D40" s="10" t="s">
        <v>68</v>
      </c>
      <c r="E40" s="10" t="s">
        <v>64</v>
      </c>
      <c r="G40" s="23"/>
      <c r="H40" s="18"/>
      <c r="I40" s="18"/>
    </row>
    <row r="41" spans="1:9" x14ac:dyDescent="0.25">
      <c r="A41" s="3" t="s">
        <v>9</v>
      </c>
      <c r="B41" s="9" t="s">
        <v>76</v>
      </c>
      <c r="C41" s="10" t="s">
        <v>73</v>
      </c>
      <c r="D41" s="10" t="s">
        <v>69</v>
      </c>
      <c r="E41" s="10" t="s">
        <v>65</v>
      </c>
      <c r="G41" s="20"/>
      <c r="H41" s="21"/>
      <c r="I41" s="18"/>
    </row>
    <row r="42" spans="1:9" x14ac:dyDescent="0.25">
      <c r="B42" s="49" t="s">
        <v>66</v>
      </c>
      <c r="C42" s="49"/>
      <c r="D42" s="49"/>
      <c r="E42" s="49"/>
    </row>
    <row r="44" spans="1:9" x14ac:dyDescent="0.25">
      <c r="A44" s="52" t="s">
        <v>82</v>
      </c>
      <c r="B44" s="53"/>
      <c r="C44" s="54"/>
      <c r="D44" s="59" t="s">
        <v>92</v>
      </c>
      <c r="E44" s="59" t="s">
        <v>91</v>
      </c>
    </row>
    <row r="45" spans="1:9" x14ac:dyDescent="0.25">
      <c r="A45" s="4" t="s">
        <v>4</v>
      </c>
      <c r="B45" s="50" t="s">
        <v>5</v>
      </c>
      <c r="C45" s="50"/>
      <c r="D45" s="50"/>
      <c r="E45" s="50"/>
    </row>
    <row r="46" spans="1:9" x14ac:dyDescent="0.25">
      <c r="A46" s="3" t="s">
        <v>6</v>
      </c>
      <c r="B46" s="28">
        <v>1000</v>
      </c>
      <c r="C46" s="28">
        <v>3000</v>
      </c>
      <c r="D46" s="8">
        <v>7000</v>
      </c>
      <c r="E46" s="8">
        <v>10000</v>
      </c>
    </row>
    <row r="47" spans="1:9" x14ac:dyDescent="0.25">
      <c r="A47" s="51" t="s">
        <v>11</v>
      </c>
      <c r="B47" s="51"/>
      <c r="C47" s="51"/>
      <c r="D47" s="51"/>
      <c r="E47" s="51"/>
      <c r="G47" s="1" t="s">
        <v>95</v>
      </c>
      <c r="H47" s="1" t="s">
        <v>94</v>
      </c>
    </row>
    <row r="48" spans="1:9" x14ac:dyDescent="0.25">
      <c r="A48" s="3" t="s">
        <v>7</v>
      </c>
      <c r="B48" s="9">
        <v>15</v>
      </c>
      <c r="C48" s="10">
        <v>150</v>
      </c>
      <c r="D48" s="10">
        <v>729</v>
      </c>
      <c r="E48" s="10">
        <v>1519</v>
      </c>
      <c r="G48" s="1">
        <v>64</v>
      </c>
      <c r="H48" s="1">
        <v>30687</v>
      </c>
    </row>
    <row r="49" spans="1:8" x14ac:dyDescent="0.25">
      <c r="A49" s="3" t="s">
        <v>8</v>
      </c>
      <c r="B49" s="9">
        <v>52</v>
      </c>
      <c r="C49" s="10">
        <v>903</v>
      </c>
      <c r="D49" s="10">
        <v>10267</v>
      </c>
      <c r="E49" s="10">
        <v>26615</v>
      </c>
      <c r="G49" s="1">
        <v>128</v>
      </c>
      <c r="H49" s="1">
        <v>30690</v>
      </c>
    </row>
    <row r="50" spans="1:8" x14ac:dyDescent="0.25">
      <c r="A50" s="3" t="s">
        <v>9</v>
      </c>
      <c r="B50" s="9">
        <v>68</v>
      </c>
      <c r="C50" s="10">
        <v>1053</v>
      </c>
      <c r="D50" s="10">
        <v>10997</v>
      </c>
      <c r="E50" s="10">
        <v>28134</v>
      </c>
      <c r="G50" s="1">
        <v>256</v>
      </c>
      <c r="H50" s="1">
        <v>32278</v>
      </c>
    </row>
    <row r="51" spans="1:8" x14ac:dyDescent="0.25">
      <c r="A51" s="51" t="s">
        <v>12</v>
      </c>
      <c r="B51" s="51"/>
      <c r="C51" s="51"/>
      <c r="D51" s="51"/>
      <c r="E51" s="51"/>
    </row>
    <row r="52" spans="1:8" x14ac:dyDescent="0.25">
      <c r="A52" s="3" t="s">
        <v>7</v>
      </c>
      <c r="B52" s="9">
        <v>16</v>
      </c>
      <c r="C52" s="10">
        <v>154</v>
      </c>
      <c r="D52" s="10">
        <v>851</v>
      </c>
      <c r="E52" s="10">
        <v>1750</v>
      </c>
    </row>
    <row r="53" spans="1:8" x14ac:dyDescent="0.25">
      <c r="A53" s="3" t="s">
        <v>8</v>
      </c>
      <c r="B53" s="9">
        <v>118</v>
      </c>
      <c r="C53" s="10">
        <v>2705</v>
      </c>
      <c r="D53" s="10">
        <v>33526</v>
      </c>
      <c r="E53" s="10">
        <v>97103</v>
      </c>
    </row>
    <row r="54" spans="1:8" x14ac:dyDescent="0.25">
      <c r="A54" s="3" t="s">
        <v>9</v>
      </c>
      <c r="B54" s="9">
        <v>135</v>
      </c>
      <c r="C54" s="10">
        <v>2860</v>
      </c>
      <c r="D54" s="10">
        <v>34378</v>
      </c>
      <c r="E54" s="10">
        <v>98853</v>
      </c>
    </row>
    <row r="55" spans="1:8" x14ac:dyDescent="0.25">
      <c r="C55" s="1" t="s">
        <v>83</v>
      </c>
    </row>
  </sheetData>
  <mergeCells count="22">
    <mergeCell ref="B45:E45"/>
    <mergeCell ref="A47:E47"/>
    <mergeCell ref="A51:E51"/>
    <mergeCell ref="D44:E44"/>
    <mergeCell ref="D31:E31"/>
    <mergeCell ref="A44:C44"/>
    <mergeCell ref="A31:C31"/>
    <mergeCell ref="H24:I24"/>
    <mergeCell ref="G5:H8"/>
    <mergeCell ref="B42:E42"/>
    <mergeCell ref="B32:E32"/>
    <mergeCell ref="A34:E34"/>
    <mergeCell ref="A38:E38"/>
    <mergeCell ref="B6:E6"/>
    <mergeCell ref="A12:E12"/>
    <mergeCell ref="A8:E8"/>
    <mergeCell ref="A5:E5"/>
    <mergeCell ref="D13:D15"/>
    <mergeCell ref="A18:E18"/>
    <mergeCell ref="B19:E19"/>
    <mergeCell ref="A21:E21"/>
    <mergeCell ref="A25:E25"/>
  </mergeCells>
  <phoneticPr fontId="8" type="noConversion"/>
  <hyperlinks>
    <hyperlink ref="E31" location="Графики!A1" display="Соотв. графики" xr:uid="{B555E463-05C4-4E05-8D89-54A4D9AA7A6E}"/>
    <hyperlink ref="E44" location="Графики!A24" display="Соотв. графики" xr:uid="{E92A20FD-A4FF-4EDF-8463-75004668F010}"/>
  </hyperlink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86"/>
  <sheetViews>
    <sheetView tabSelected="1" topLeftCell="A52" workbookViewId="0">
      <selection activeCell="O54" sqref="O54"/>
    </sheetView>
  </sheetViews>
  <sheetFormatPr defaultRowHeight="13.55" x14ac:dyDescent="0.2"/>
  <cols>
    <col min="1" max="1" width="15.28515625" style="26" customWidth="1"/>
    <col min="2" max="2" width="28" style="26" customWidth="1"/>
    <col min="3" max="3" width="23.5703125" style="26" customWidth="1"/>
    <col min="4" max="4" width="21.42578125" style="26" customWidth="1"/>
    <col min="5" max="17" width="14.28515625" style="26" customWidth="1"/>
    <col min="18" max="16384" width="9.140625" style="26"/>
  </cols>
  <sheetData>
    <row r="1" spans="1:26" ht="21.6" customHeight="1" x14ac:dyDescent="0.25">
      <c r="A1" s="58" t="s">
        <v>84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9" t="s">
        <v>90</v>
      </c>
      <c r="N1" s="59"/>
      <c r="O1" s="36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spans="1:26" ht="21.6" customHeight="1" x14ac:dyDescent="0.25">
      <c r="A2" s="66" t="s">
        <v>85</v>
      </c>
      <c r="B2" s="44"/>
      <c r="C2" s="63" t="s">
        <v>78</v>
      </c>
      <c r="D2" s="63"/>
      <c r="E2" s="31"/>
      <c r="F2" s="31"/>
      <c r="G2" s="31"/>
      <c r="H2" s="31"/>
      <c r="I2" s="31"/>
      <c r="J2" s="31"/>
      <c r="K2" s="31"/>
      <c r="L2" s="31"/>
      <c r="M2" s="31"/>
      <c r="N2" s="34"/>
      <c r="O2" s="37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</row>
    <row r="3" spans="1:26" ht="21.6" customHeight="1" x14ac:dyDescent="0.25">
      <c r="A3" s="66"/>
      <c r="B3" s="29" t="s">
        <v>77</v>
      </c>
      <c r="C3" s="25" t="s">
        <v>79</v>
      </c>
      <c r="D3" s="25" t="s">
        <v>80</v>
      </c>
      <c r="E3" s="31"/>
      <c r="F3" s="31"/>
      <c r="G3" s="31"/>
      <c r="H3" s="31"/>
      <c r="I3" s="31"/>
      <c r="J3" s="31"/>
      <c r="K3" s="31"/>
      <c r="L3" s="31"/>
      <c r="M3" s="31"/>
      <c r="N3" s="34"/>
      <c r="O3" s="37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</row>
    <row r="4" spans="1:26" ht="21.6" customHeight="1" x14ac:dyDescent="0.25">
      <c r="A4" s="66"/>
      <c r="B4" s="15">
        <v>1</v>
      </c>
      <c r="C4" s="24">
        <v>40525</v>
      </c>
      <c r="D4" s="40">
        <v>8737</v>
      </c>
      <c r="E4" s="31"/>
      <c r="F4" s="31"/>
      <c r="G4" s="31"/>
      <c r="H4" s="31"/>
      <c r="I4" s="31"/>
      <c r="J4" s="31"/>
      <c r="K4" s="31"/>
      <c r="L4" s="31"/>
      <c r="M4" s="31"/>
      <c r="N4" s="34"/>
      <c r="O4" s="37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</row>
    <row r="5" spans="1:26" ht="21.6" customHeight="1" x14ac:dyDescent="0.25">
      <c r="A5" s="66"/>
      <c r="B5" s="15">
        <v>2</v>
      </c>
      <c r="C5" s="24">
        <v>40933</v>
      </c>
      <c r="D5" s="40">
        <v>8116</v>
      </c>
      <c r="E5" s="31"/>
      <c r="F5" s="31"/>
      <c r="G5" s="31"/>
      <c r="H5" s="31"/>
      <c r="I5" s="31"/>
      <c r="J5" s="31"/>
      <c r="K5" s="31"/>
      <c r="L5" s="31"/>
      <c r="M5" s="31"/>
      <c r="N5" s="34"/>
      <c r="O5" s="37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</row>
    <row r="6" spans="1:26" ht="21.6" customHeight="1" x14ac:dyDescent="0.25">
      <c r="A6" s="66"/>
      <c r="B6" s="15">
        <v>4</v>
      </c>
      <c r="C6" s="24">
        <v>34657</v>
      </c>
      <c r="D6" s="40">
        <v>7387</v>
      </c>
      <c r="E6" s="31"/>
      <c r="F6" s="31"/>
      <c r="G6" s="31"/>
      <c r="H6" s="31"/>
      <c r="I6" s="31"/>
      <c r="J6" s="31"/>
      <c r="K6" s="31"/>
      <c r="L6" s="31"/>
      <c r="M6" s="31"/>
      <c r="N6" s="34"/>
      <c r="O6" s="38"/>
    </row>
    <row r="7" spans="1:26" ht="21.6" customHeight="1" x14ac:dyDescent="0.25">
      <c r="A7" s="66"/>
      <c r="B7" s="15">
        <v>6</v>
      </c>
      <c r="C7" s="24">
        <v>38071</v>
      </c>
      <c r="D7" s="40">
        <v>7472</v>
      </c>
      <c r="E7" s="31"/>
      <c r="F7" s="31"/>
      <c r="G7" s="31"/>
      <c r="H7" s="31"/>
      <c r="I7" s="31"/>
      <c r="J7" s="31"/>
      <c r="K7" s="31"/>
      <c r="L7" s="31"/>
      <c r="M7" s="31"/>
      <c r="N7" s="34"/>
      <c r="O7" s="38"/>
    </row>
    <row r="8" spans="1:26" ht="21.6" customHeight="1" x14ac:dyDescent="0.25">
      <c r="A8" s="66"/>
      <c r="B8" s="15">
        <v>8</v>
      </c>
      <c r="C8" s="24">
        <v>37594</v>
      </c>
      <c r="D8" s="40">
        <v>7389</v>
      </c>
      <c r="E8" s="31"/>
      <c r="F8" s="31"/>
      <c r="G8" s="31"/>
      <c r="H8" s="31"/>
      <c r="I8" s="31"/>
      <c r="J8" s="31"/>
      <c r="K8" s="31"/>
      <c r="L8" s="31"/>
      <c r="M8" s="31"/>
      <c r="N8" s="34"/>
      <c r="O8" s="38"/>
    </row>
    <row r="9" spans="1:26" ht="21.6" customHeight="1" x14ac:dyDescent="0.25">
      <c r="A9" s="66"/>
      <c r="B9" s="15">
        <v>10</v>
      </c>
      <c r="C9" s="24">
        <v>36931</v>
      </c>
      <c r="D9" s="40">
        <v>8155</v>
      </c>
      <c r="E9" s="31"/>
      <c r="F9" s="31"/>
      <c r="G9" s="31"/>
      <c r="H9" s="31"/>
      <c r="I9" s="31"/>
      <c r="J9" s="31"/>
      <c r="K9" s="31"/>
      <c r="L9" s="31"/>
      <c r="M9" s="31"/>
      <c r="N9" s="34"/>
      <c r="O9" s="38"/>
    </row>
    <row r="10" spans="1:26" ht="21.6" customHeight="1" x14ac:dyDescent="0.25">
      <c r="A10" s="66"/>
      <c r="B10" s="15">
        <v>12</v>
      </c>
      <c r="C10" s="24">
        <v>40896</v>
      </c>
      <c r="D10" s="40">
        <v>8411</v>
      </c>
      <c r="E10" s="31"/>
      <c r="F10" s="31"/>
      <c r="G10" s="31"/>
      <c r="H10" s="31"/>
      <c r="I10" s="31"/>
      <c r="J10" s="31"/>
      <c r="K10" s="31"/>
      <c r="L10" s="31"/>
      <c r="M10" s="31"/>
      <c r="N10" s="34"/>
      <c r="O10" s="38"/>
    </row>
    <row r="11" spans="1:26" ht="21.6" customHeight="1" x14ac:dyDescent="0.25">
      <c r="A11" s="66"/>
      <c r="B11" s="15">
        <v>16</v>
      </c>
      <c r="C11" s="24">
        <v>39364</v>
      </c>
      <c r="D11" s="40">
        <v>7844</v>
      </c>
      <c r="E11" s="31"/>
      <c r="F11" s="31"/>
      <c r="G11" s="31"/>
      <c r="H11" s="31"/>
      <c r="I11" s="31"/>
      <c r="J11" s="31"/>
      <c r="K11" s="31"/>
      <c r="L11" s="31"/>
      <c r="M11" s="31"/>
      <c r="N11" s="34"/>
      <c r="O11" s="38"/>
      <c r="P11" s="27"/>
      <c r="Q11" s="27"/>
    </row>
    <row r="12" spans="1:26" ht="21.6" customHeight="1" x14ac:dyDescent="0.25">
      <c r="A12" s="66"/>
      <c r="B12" s="33" t="s">
        <v>86</v>
      </c>
      <c r="C12" s="64" t="s">
        <v>81</v>
      </c>
      <c r="D12" s="64"/>
      <c r="E12" s="64"/>
      <c r="F12" s="64"/>
      <c r="G12" s="64"/>
      <c r="H12" s="64"/>
      <c r="I12" s="64"/>
      <c r="J12" s="64"/>
      <c r="K12" s="64"/>
      <c r="L12" s="64"/>
      <c r="M12" s="64"/>
      <c r="N12" s="65"/>
      <c r="O12" s="39"/>
      <c r="P12" s="23"/>
      <c r="Q12" s="23"/>
    </row>
    <row r="13" spans="1:26" ht="21.6" customHeight="1" x14ac:dyDescent="0.25">
      <c r="A13" s="66" t="s">
        <v>87</v>
      </c>
      <c r="B13" s="44"/>
      <c r="C13" s="63" t="s">
        <v>78</v>
      </c>
      <c r="D13" s="63"/>
      <c r="E13" s="32"/>
      <c r="F13" s="31"/>
      <c r="G13" s="31"/>
      <c r="H13" s="31"/>
      <c r="I13" s="31"/>
      <c r="J13" s="31"/>
      <c r="K13" s="31"/>
      <c r="L13" s="31"/>
      <c r="M13" s="31"/>
      <c r="N13" s="34"/>
      <c r="O13" s="39"/>
      <c r="P13" s="23"/>
      <c r="Q13" s="23"/>
    </row>
    <row r="14" spans="1:26" ht="21.6" customHeight="1" x14ac:dyDescent="0.25">
      <c r="A14" s="66"/>
      <c r="B14" s="13" t="s">
        <v>77</v>
      </c>
      <c r="C14" s="25" t="s">
        <v>79</v>
      </c>
      <c r="D14" s="25" t="s">
        <v>80</v>
      </c>
      <c r="E14" s="32"/>
      <c r="F14" s="31"/>
      <c r="G14" s="31"/>
      <c r="H14" s="31"/>
      <c r="I14" s="31"/>
      <c r="J14" s="31"/>
      <c r="K14" s="31"/>
      <c r="L14" s="31"/>
      <c r="M14" s="31"/>
      <c r="N14" s="34"/>
      <c r="O14" s="39"/>
      <c r="P14" s="23"/>
      <c r="Q14" s="23"/>
    </row>
    <row r="15" spans="1:26" ht="21.6" customHeight="1" x14ac:dyDescent="0.25">
      <c r="A15" s="66"/>
      <c r="B15" s="15">
        <v>1</v>
      </c>
      <c r="C15" s="40">
        <v>21978</v>
      </c>
      <c r="D15" s="40">
        <v>4557</v>
      </c>
      <c r="E15" s="31"/>
      <c r="F15" s="31"/>
      <c r="G15" s="31"/>
      <c r="H15" s="31"/>
      <c r="I15" s="31"/>
      <c r="J15" s="31"/>
      <c r="K15" s="31"/>
      <c r="L15" s="31"/>
      <c r="M15" s="31"/>
      <c r="N15" s="34"/>
      <c r="O15" s="38"/>
      <c r="P15" s="27"/>
      <c r="Q15" s="27"/>
    </row>
    <row r="16" spans="1:26" ht="21.6" customHeight="1" x14ac:dyDescent="0.25">
      <c r="A16" s="66"/>
      <c r="B16" s="15">
        <v>2</v>
      </c>
      <c r="C16" s="40">
        <v>18990</v>
      </c>
      <c r="D16" s="40">
        <v>3948</v>
      </c>
      <c r="E16" s="31"/>
      <c r="F16" s="31"/>
      <c r="G16" s="31"/>
      <c r="H16" s="31"/>
      <c r="I16" s="31"/>
      <c r="J16" s="31"/>
      <c r="K16" s="31"/>
      <c r="L16" s="31"/>
      <c r="M16" s="31"/>
      <c r="N16" s="34"/>
      <c r="O16" s="39"/>
      <c r="P16" s="23"/>
      <c r="Q16" s="23"/>
    </row>
    <row r="17" spans="1:17" ht="21.6" customHeight="1" x14ac:dyDescent="0.25">
      <c r="A17" s="66"/>
      <c r="B17" s="15">
        <v>4</v>
      </c>
      <c r="C17" s="40">
        <v>18915</v>
      </c>
      <c r="D17" s="40">
        <v>3448</v>
      </c>
      <c r="E17" s="31"/>
      <c r="F17" s="31"/>
      <c r="G17" s="31"/>
      <c r="H17" s="31"/>
      <c r="I17" s="31"/>
      <c r="J17" s="31"/>
      <c r="K17" s="31"/>
      <c r="L17" s="31"/>
      <c r="M17" s="31"/>
      <c r="N17" s="34"/>
      <c r="O17" s="39"/>
      <c r="P17" s="23"/>
      <c r="Q17" s="23"/>
    </row>
    <row r="18" spans="1:17" ht="21.6" customHeight="1" x14ac:dyDescent="0.25">
      <c r="A18" s="66"/>
      <c r="B18" s="15">
        <v>6</v>
      </c>
      <c r="C18" s="40">
        <v>19263</v>
      </c>
      <c r="D18" s="40">
        <v>3554</v>
      </c>
      <c r="E18" s="31"/>
      <c r="F18" s="31"/>
      <c r="G18" s="31"/>
      <c r="H18" s="31"/>
      <c r="I18" s="31"/>
      <c r="J18" s="31"/>
      <c r="K18" s="31"/>
      <c r="L18" s="31"/>
      <c r="M18" s="31"/>
      <c r="N18" s="34"/>
      <c r="O18" s="39"/>
      <c r="P18" s="23"/>
      <c r="Q18" s="23"/>
    </row>
    <row r="19" spans="1:17" ht="21.6" customHeight="1" x14ac:dyDescent="0.25">
      <c r="A19" s="66"/>
      <c r="B19" s="15">
        <v>8</v>
      </c>
      <c r="C19" s="24">
        <v>19123</v>
      </c>
      <c r="D19" s="40">
        <v>3538</v>
      </c>
      <c r="E19" s="31"/>
      <c r="F19" s="31"/>
      <c r="G19" s="31"/>
      <c r="H19" s="31"/>
      <c r="I19" s="31"/>
      <c r="J19" s="31"/>
      <c r="K19" s="31"/>
      <c r="L19" s="31"/>
      <c r="M19" s="31"/>
      <c r="N19" s="34"/>
      <c r="O19" s="38"/>
    </row>
    <row r="20" spans="1:17" ht="21.6" customHeight="1" x14ac:dyDescent="0.25">
      <c r="A20" s="66"/>
      <c r="B20" s="15">
        <v>10</v>
      </c>
      <c r="C20" s="24">
        <v>19536</v>
      </c>
      <c r="D20" s="40">
        <v>3696</v>
      </c>
      <c r="E20" s="31"/>
      <c r="F20" s="31"/>
      <c r="G20" s="31"/>
      <c r="H20" s="31"/>
      <c r="I20" s="31"/>
      <c r="J20" s="31"/>
      <c r="K20" s="31"/>
      <c r="L20" s="31"/>
      <c r="M20" s="31"/>
      <c r="N20" s="34"/>
      <c r="O20" s="38"/>
    </row>
    <row r="21" spans="1:17" ht="21.6" customHeight="1" x14ac:dyDescent="0.25">
      <c r="A21" s="66"/>
      <c r="B21" s="15">
        <v>12</v>
      </c>
      <c r="C21" s="24">
        <v>20535</v>
      </c>
      <c r="D21" s="40">
        <v>4272</v>
      </c>
      <c r="E21" s="31"/>
      <c r="F21" s="31"/>
      <c r="G21" s="31"/>
      <c r="H21" s="31"/>
      <c r="I21" s="31"/>
      <c r="J21" s="31"/>
      <c r="K21" s="31"/>
      <c r="L21" s="31"/>
      <c r="M21" s="31"/>
      <c r="N21" s="34"/>
      <c r="O21" s="38"/>
    </row>
    <row r="22" spans="1:17" ht="21.6" customHeight="1" x14ac:dyDescent="0.2">
      <c r="A22" s="66"/>
      <c r="B22" s="67" t="s">
        <v>86</v>
      </c>
      <c r="C22" s="68" t="s">
        <v>88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9"/>
      <c r="O22" s="38"/>
    </row>
    <row r="23" spans="1:17" ht="21.6" customHeight="1" x14ac:dyDescent="0.2">
      <c r="A23" s="66"/>
      <c r="B23" s="67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9"/>
      <c r="O23" s="38"/>
    </row>
    <row r="24" spans="1:17" ht="21.6" customHeight="1" x14ac:dyDescent="0.25">
      <c r="A24" s="58" t="s">
        <v>89</v>
      </c>
      <c r="B24" s="58"/>
      <c r="C24" s="58"/>
      <c r="D24" s="58"/>
      <c r="E24" s="58"/>
      <c r="F24" s="58"/>
      <c r="G24" s="58"/>
      <c r="H24" s="58"/>
      <c r="I24" s="58"/>
      <c r="J24" s="58"/>
      <c r="K24" s="58"/>
      <c r="L24" s="58"/>
      <c r="M24" s="59" t="s">
        <v>90</v>
      </c>
      <c r="N24" s="59"/>
      <c r="O24" s="38"/>
    </row>
    <row r="25" spans="1:17" ht="21.6" customHeight="1" x14ac:dyDescent="0.25">
      <c r="A25" s="60" t="s">
        <v>85</v>
      </c>
      <c r="B25" s="44"/>
      <c r="C25" s="63" t="s">
        <v>78</v>
      </c>
      <c r="D25" s="63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27"/>
    </row>
    <row r="26" spans="1:17" ht="21.6" customHeight="1" x14ac:dyDescent="0.25">
      <c r="A26" s="61"/>
      <c r="B26" s="42" t="s">
        <v>77</v>
      </c>
      <c r="C26" s="25" t="s">
        <v>79</v>
      </c>
      <c r="D26" s="25" t="s">
        <v>80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27"/>
    </row>
    <row r="27" spans="1:17" ht="21.6" customHeight="1" x14ac:dyDescent="0.25">
      <c r="A27" s="61"/>
      <c r="B27" s="15">
        <v>1</v>
      </c>
      <c r="C27" s="24">
        <v>16385</v>
      </c>
      <c r="D27" s="40">
        <v>3616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27"/>
    </row>
    <row r="28" spans="1:17" ht="21.6" customHeight="1" x14ac:dyDescent="0.25">
      <c r="A28" s="61"/>
      <c r="B28" s="15">
        <v>2</v>
      </c>
      <c r="C28" s="24">
        <v>8982</v>
      </c>
      <c r="D28" s="40">
        <v>2066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27"/>
    </row>
    <row r="29" spans="1:17" ht="21.6" customHeight="1" x14ac:dyDescent="0.25">
      <c r="A29" s="61"/>
      <c r="B29" s="15">
        <v>4</v>
      </c>
      <c r="C29" s="24">
        <v>5710</v>
      </c>
      <c r="D29" s="40">
        <v>1430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27"/>
    </row>
    <row r="30" spans="1:17" ht="21.6" customHeight="1" x14ac:dyDescent="0.25">
      <c r="A30" s="61"/>
      <c r="B30" s="15">
        <v>6</v>
      </c>
      <c r="C30" s="24">
        <v>4847</v>
      </c>
      <c r="D30" s="40">
        <v>1212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27"/>
    </row>
    <row r="31" spans="1:17" ht="21.6" customHeight="1" x14ac:dyDescent="0.25">
      <c r="A31" s="61"/>
      <c r="B31" s="15">
        <v>8</v>
      </c>
      <c r="C31" s="24">
        <v>4224</v>
      </c>
      <c r="D31" s="40">
        <v>1190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27"/>
    </row>
    <row r="32" spans="1:17" ht="21.6" customHeight="1" x14ac:dyDescent="0.25">
      <c r="A32" s="61"/>
      <c r="B32" s="15">
        <v>10</v>
      </c>
      <c r="C32" s="24">
        <v>4304</v>
      </c>
      <c r="D32" s="40">
        <v>1280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27"/>
    </row>
    <row r="33" spans="1:16" ht="21.6" customHeight="1" x14ac:dyDescent="0.25">
      <c r="A33" s="61"/>
      <c r="B33" s="15">
        <v>12</v>
      </c>
      <c r="C33" s="24">
        <v>4260</v>
      </c>
      <c r="D33" s="40">
        <v>1360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27"/>
    </row>
    <row r="34" spans="1:16" ht="21.6" customHeight="1" x14ac:dyDescent="0.25">
      <c r="A34" s="61"/>
      <c r="B34" s="15">
        <v>16</v>
      </c>
      <c r="C34" s="24">
        <v>4287</v>
      </c>
      <c r="D34" s="40">
        <v>1368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27"/>
    </row>
    <row r="35" spans="1:16" ht="21.6" customHeight="1" x14ac:dyDescent="0.25">
      <c r="A35" s="61"/>
      <c r="B35" s="45"/>
      <c r="C35" s="63" t="s">
        <v>96</v>
      </c>
      <c r="D35" s="63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27"/>
    </row>
    <row r="36" spans="1:16" ht="21.6" customHeight="1" x14ac:dyDescent="0.25">
      <c r="A36" s="61"/>
      <c r="B36" s="42" t="s">
        <v>77</v>
      </c>
      <c r="C36" s="25" t="s">
        <v>79</v>
      </c>
      <c r="D36" s="25" t="s">
        <v>80</v>
      </c>
      <c r="E36" s="43"/>
      <c r="F36" s="43"/>
      <c r="G36" s="43"/>
      <c r="H36" s="16"/>
      <c r="I36" s="16"/>
      <c r="J36" s="16"/>
      <c r="K36" s="16"/>
      <c r="L36" s="16"/>
      <c r="M36" s="16"/>
      <c r="N36" s="16"/>
      <c r="O36" s="1"/>
      <c r="P36" s="1"/>
    </row>
    <row r="37" spans="1:16" ht="21.6" customHeight="1" x14ac:dyDescent="0.25">
      <c r="A37" s="61"/>
      <c r="B37" s="42">
        <v>1</v>
      </c>
      <c r="C37" s="43">
        <f>C27/C27</f>
        <v>1</v>
      </c>
      <c r="D37" s="43">
        <f>D27/D27</f>
        <v>1</v>
      </c>
      <c r="E37" s="43"/>
      <c r="F37" s="43"/>
      <c r="G37" s="43"/>
      <c r="H37" s="16"/>
      <c r="I37" s="16"/>
      <c r="J37" s="16"/>
      <c r="K37" s="16"/>
      <c r="L37" s="16"/>
      <c r="M37" s="16"/>
      <c r="N37" s="16"/>
      <c r="O37" s="1"/>
      <c r="P37" s="1"/>
    </row>
    <row r="38" spans="1:16" ht="21.6" customHeight="1" x14ac:dyDescent="0.25">
      <c r="A38" s="61"/>
      <c r="B38" s="42">
        <v>2</v>
      </c>
      <c r="C38" s="43">
        <f>C27/C28</f>
        <v>1.8242039634825207</v>
      </c>
      <c r="D38" s="43">
        <f>D27/D28</f>
        <v>1.750242013552759</v>
      </c>
      <c r="E38" s="43"/>
      <c r="F38" s="43"/>
      <c r="G38" s="43"/>
      <c r="H38" s="16"/>
      <c r="I38" s="16"/>
      <c r="J38" s="16"/>
      <c r="K38" s="16"/>
      <c r="L38" s="16"/>
      <c r="M38" s="16"/>
      <c r="N38" s="16"/>
      <c r="O38" s="1"/>
      <c r="P38" s="1"/>
    </row>
    <row r="39" spans="1:16" ht="21.6" customHeight="1" x14ac:dyDescent="0.25">
      <c r="A39" s="61"/>
      <c r="B39" s="42">
        <v>4</v>
      </c>
      <c r="C39" s="43">
        <f>C27/C29</f>
        <v>2.8695271453590192</v>
      </c>
      <c r="D39" s="43">
        <f>D27/D29</f>
        <v>2.5286713286713285</v>
      </c>
      <c r="E39" s="43"/>
      <c r="F39" s="43"/>
      <c r="G39" s="43"/>
      <c r="H39" s="16"/>
      <c r="I39" s="16"/>
      <c r="J39" s="16"/>
      <c r="K39" s="16"/>
      <c r="L39" s="16"/>
      <c r="M39" s="16"/>
      <c r="N39" s="16"/>
      <c r="O39" s="1"/>
      <c r="P39" s="1"/>
    </row>
    <row r="40" spans="1:16" ht="21.6" customHeight="1" x14ac:dyDescent="0.25">
      <c r="A40" s="61"/>
      <c r="B40" s="42">
        <v>6</v>
      </c>
      <c r="C40" s="43">
        <f>C27/C30</f>
        <v>3.3804415102125027</v>
      </c>
      <c r="D40" s="43">
        <f>D27/D30</f>
        <v>2.9834983498349836</v>
      </c>
      <c r="E40" s="43"/>
      <c r="F40" s="43"/>
      <c r="G40" s="43"/>
      <c r="H40" s="16"/>
      <c r="I40" s="16"/>
      <c r="J40" s="16"/>
      <c r="K40" s="16"/>
      <c r="L40" s="16"/>
      <c r="M40" s="16"/>
      <c r="N40" s="16"/>
      <c r="O40" s="1"/>
      <c r="P40" s="1"/>
    </row>
    <row r="41" spans="1:16" ht="21.6" customHeight="1" x14ac:dyDescent="0.25">
      <c r="A41" s="61"/>
      <c r="B41" s="42">
        <v>8</v>
      </c>
      <c r="C41" s="43">
        <f>C27/C31</f>
        <v>3.8790246212121211</v>
      </c>
      <c r="D41" s="43">
        <f>D27/D31</f>
        <v>3.0386554621848738</v>
      </c>
      <c r="E41" s="43"/>
      <c r="F41" s="43"/>
      <c r="G41" s="43"/>
      <c r="H41" s="16"/>
      <c r="I41" s="16"/>
      <c r="J41" s="16"/>
      <c r="K41" s="16"/>
      <c r="L41" s="16"/>
      <c r="M41" s="16"/>
      <c r="N41" s="16"/>
      <c r="O41" s="1"/>
      <c r="P41" s="1"/>
    </row>
    <row r="42" spans="1:16" ht="21.6" customHeight="1" x14ac:dyDescent="0.25">
      <c r="A42" s="61"/>
      <c r="B42" s="42">
        <v>10</v>
      </c>
      <c r="C42" s="43">
        <f>C27/C32</f>
        <v>3.8069237918215615</v>
      </c>
      <c r="D42" s="43">
        <f>D27/D32</f>
        <v>2.8250000000000002</v>
      </c>
      <c r="E42" s="43"/>
      <c r="F42" s="43"/>
      <c r="G42" s="43"/>
      <c r="H42" s="16"/>
      <c r="I42" s="16"/>
      <c r="J42" s="16"/>
      <c r="K42" s="16"/>
      <c r="L42" s="16"/>
      <c r="M42" s="16"/>
      <c r="N42" s="16"/>
      <c r="O42" s="1"/>
      <c r="P42" s="1"/>
    </row>
    <row r="43" spans="1:16" ht="21.6" customHeight="1" x14ac:dyDescent="0.25">
      <c r="A43" s="61"/>
      <c r="B43" s="42">
        <v>12</v>
      </c>
      <c r="C43" s="43">
        <f>C27/C33</f>
        <v>3.846244131455399</v>
      </c>
      <c r="D43" s="43">
        <f>D27/D33</f>
        <v>2.6588235294117646</v>
      </c>
      <c r="E43" s="43"/>
      <c r="F43" s="43"/>
      <c r="G43" s="43"/>
      <c r="H43" s="16"/>
      <c r="I43" s="16"/>
      <c r="J43" s="16"/>
      <c r="K43" s="16"/>
      <c r="L43" s="16"/>
      <c r="M43" s="16"/>
      <c r="N43" s="16"/>
      <c r="O43" s="1"/>
      <c r="P43" s="1"/>
    </row>
    <row r="44" spans="1:16" ht="21.6" customHeight="1" x14ac:dyDescent="0.25">
      <c r="A44" s="61"/>
      <c r="B44" s="42">
        <v>16</v>
      </c>
      <c r="C44" s="43">
        <f>C27/C34</f>
        <v>3.8220200606484722</v>
      </c>
      <c r="D44" s="43">
        <f>D27/D34</f>
        <v>2.6432748538011697</v>
      </c>
      <c r="E44" s="43"/>
      <c r="F44" s="43"/>
      <c r="G44" s="43"/>
      <c r="H44" s="16"/>
      <c r="I44" s="16"/>
      <c r="J44" s="16"/>
      <c r="K44" s="16"/>
      <c r="L44" s="16"/>
      <c r="M44" s="16"/>
      <c r="N44" s="16"/>
      <c r="O44" s="1"/>
      <c r="P44" s="1"/>
    </row>
    <row r="45" spans="1:16" ht="21.6" customHeight="1" x14ac:dyDescent="0.25">
      <c r="A45" s="61"/>
      <c r="B45" s="45"/>
      <c r="C45" s="63" t="s">
        <v>97</v>
      </c>
      <c r="D45" s="63"/>
      <c r="E45" s="43"/>
      <c r="F45" s="43"/>
      <c r="G45" s="43"/>
      <c r="H45" s="16"/>
      <c r="I45" s="16"/>
      <c r="J45" s="16"/>
      <c r="K45" s="16"/>
      <c r="L45" s="16"/>
      <c r="M45" s="16"/>
      <c r="N45" s="16"/>
      <c r="O45" s="1"/>
      <c r="P45" s="1"/>
    </row>
    <row r="46" spans="1:16" ht="21.6" customHeight="1" x14ac:dyDescent="0.25">
      <c r="A46" s="61"/>
      <c r="B46" s="42" t="s">
        <v>77</v>
      </c>
      <c r="C46" s="25" t="s">
        <v>79</v>
      </c>
      <c r="D46" s="25" t="s">
        <v>80</v>
      </c>
      <c r="E46" s="43"/>
      <c r="F46" s="43"/>
      <c r="G46" s="43"/>
      <c r="H46" s="16"/>
      <c r="I46" s="16"/>
      <c r="J46" s="16"/>
      <c r="K46" s="16"/>
      <c r="L46" s="16"/>
      <c r="M46" s="16"/>
      <c r="N46" s="16"/>
      <c r="O46" s="1"/>
      <c r="P46" s="1"/>
    </row>
    <row r="47" spans="1:16" ht="21.6" customHeight="1" x14ac:dyDescent="0.25">
      <c r="A47" s="61"/>
      <c r="B47" s="42">
        <v>1</v>
      </c>
      <c r="C47" s="43">
        <f t="shared" ref="C47:C54" si="0">C37/B37</f>
        <v>1</v>
      </c>
      <c r="D47" s="43">
        <f t="shared" ref="D47:D54" si="1">D37/B37</f>
        <v>1</v>
      </c>
      <c r="E47" s="43"/>
      <c r="F47" s="43"/>
      <c r="G47" s="43"/>
      <c r="H47" s="16"/>
      <c r="I47" s="16"/>
      <c r="J47" s="16"/>
      <c r="K47" s="16"/>
      <c r="L47" s="16"/>
      <c r="M47" s="16"/>
      <c r="N47" s="16"/>
      <c r="O47" s="1"/>
      <c r="P47" s="1"/>
    </row>
    <row r="48" spans="1:16" ht="21.6" customHeight="1" x14ac:dyDescent="0.25">
      <c r="A48" s="61"/>
      <c r="B48" s="42">
        <v>2</v>
      </c>
      <c r="C48" s="43">
        <f t="shared" si="0"/>
        <v>0.91210198174126034</v>
      </c>
      <c r="D48" s="43">
        <f t="shared" si="1"/>
        <v>0.8751210067763795</v>
      </c>
      <c r="E48" s="43"/>
      <c r="F48" s="43"/>
      <c r="G48" s="43"/>
      <c r="H48" s="16"/>
      <c r="I48" s="16"/>
      <c r="J48" s="16"/>
      <c r="K48" s="16"/>
      <c r="L48" s="16"/>
      <c r="M48" s="16"/>
      <c r="N48" s="16"/>
      <c r="O48" s="1"/>
      <c r="P48" s="1"/>
    </row>
    <row r="49" spans="1:16" ht="21.6" customHeight="1" x14ac:dyDescent="0.25">
      <c r="A49" s="61"/>
      <c r="B49" s="42">
        <v>4</v>
      </c>
      <c r="C49" s="43">
        <f t="shared" si="0"/>
        <v>0.7173817863397548</v>
      </c>
      <c r="D49" s="43">
        <f t="shared" si="1"/>
        <v>0.63216783216783212</v>
      </c>
      <c r="E49" s="43"/>
      <c r="F49" s="43"/>
      <c r="G49" s="43"/>
      <c r="H49" s="16"/>
      <c r="I49" s="16"/>
      <c r="J49" s="16"/>
      <c r="K49" s="16"/>
      <c r="L49" s="16"/>
      <c r="M49" s="16"/>
      <c r="N49" s="16"/>
      <c r="O49" s="1"/>
      <c r="P49" s="1"/>
    </row>
    <row r="50" spans="1:16" ht="21.6" customHeight="1" x14ac:dyDescent="0.25">
      <c r="A50" s="61"/>
      <c r="B50" s="42">
        <v>6</v>
      </c>
      <c r="C50" s="43">
        <f t="shared" si="0"/>
        <v>0.56340691836875045</v>
      </c>
      <c r="D50" s="43">
        <f t="shared" si="1"/>
        <v>0.49724972497249725</v>
      </c>
      <c r="E50" s="43"/>
      <c r="F50" s="43"/>
      <c r="G50" s="43"/>
      <c r="H50" s="16"/>
      <c r="I50" s="16"/>
      <c r="J50" s="16"/>
      <c r="K50" s="16"/>
      <c r="L50" s="16"/>
      <c r="M50" s="16"/>
      <c r="N50" s="16"/>
      <c r="O50" s="1"/>
      <c r="P50" s="1"/>
    </row>
    <row r="51" spans="1:16" ht="21.6" customHeight="1" x14ac:dyDescent="0.25">
      <c r="A51" s="61"/>
      <c r="B51" s="42">
        <v>8</v>
      </c>
      <c r="C51" s="43">
        <f t="shared" si="0"/>
        <v>0.48487807765151514</v>
      </c>
      <c r="D51" s="43">
        <f t="shared" si="1"/>
        <v>0.37983193277310923</v>
      </c>
      <c r="E51" s="43"/>
      <c r="F51" s="43"/>
      <c r="G51" s="43"/>
      <c r="H51" s="16"/>
      <c r="I51" s="16"/>
      <c r="J51" s="16"/>
      <c r="K51" s="16"/>
      <c r="L51" s="16"/>
      <c r="M51" s="16"/>
      <c r="N51" s="16"/>
      <c r="O51" s="1"/>
    </row>
    <row r="52" spans="1:16" ht="21.6" customHeight="1" x14ac:dyDescent="0.25">
      <c r="A52" s="61"/>
      <c r="B52" s="42">
        <v>10</v>
      </c>
      <c r="C52" s="43">
        <f t="shared" si="0"/>
        <v>0.38069237918215615</v>
      </c>
      <c r="D52" s="43">
        <f t="shared" si="1"/>
        <v>0.28250000000000003</v>
      </c>
      <c r="E52" s="43"/>
      <c r="F52" s="43"/>
      <c r="G52" s="43"/>
      <c r="H52" s="16"/>
      <c r="I52" s="16"/>
      <c r="J52" s="16"/>
      <c r="K52" s="16"/>
      <c r="L52" s="16"/>
      <c r="M52" s="16"/>
      <c r="N52" s="16"/>
      <c r="O52" s="1"/>
    </row>
    <row r="53" spans="1:16" ht="21.6" customHeight="1" x14ac:dyDescent="0.25">
      <c r="A53" s="61"/>
      <c r="B53" s="42">
        <v>12</v>
      </c>
      <c r="C53" s="43">
        <f t="shared" si="0"/>
        <v>0.3205203442879499</v>
      </c>
      <c r="D53" s="43">
        <f t="shared" si="1"/>
        <v>0.22156862745098038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1"/>
    </row>
    <row r="54" spans="1:16" ht="21.6" customHeight="1" x14ac:dyDescent="0.25">
      <c r="A54" s="61"/>
      <c r="B54" s="42">
        <v>16</v>
      </c>
      <c r="C54" s="43">
        <f t="shared" si="0"/>
        <v>0.23887625379052951</v>
      </c>
      <c r="D54" s="43">
        <f t="shared" si="1"/>
        <v>0.1652046783625731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1"/>
    </row>
    <row r="55" spans="1:16" ht="21.6" customHeight="1" x14ac:dyDescent="0.25">
      <c r="A55" s="62"/>
      <c r="B55" s="33" t="s">
        <v>86</v>
      </c>
      <c r="C55" s="64" t="s">
        <v>102</v>
      </c>
      <c r="D55" s="64"/>
      <c r="E55" s="64"/>
      <c r="F55" s="64"/>
      <c r="G55" s="64"/>
      <c r="H55" s="64"/>
      <c r="I55" s="64"/>
      <c r="J55" s="64"/>
      <c r="K55" s="64"/>
      <c r="L55" s="64"/>
      <c r="M55" s="64"/>
      <c r="N55" s="64"/>
    </row>
    <row r="56" spans="1:16" ht="21.6" customHeight="1" x14ac:dyDescent="0.25">
      <c r="A56" s="60" t="s">
        <v>87</v>
      </c>
      <c r="B56" s="44"/>
      <c r="C56" s="63" t="s">
        <v>78</v>
      </c>
      <c r="D56" s="63"/>
      <c r="E56" s="31"/>
      <c r="F56" s="31"/>
      <c r="G56" s="31"/>
      <c r="H56" s="31"/>
      <c r="I56" s="31"/>
      <c r="J56" s="31"/>
      <c r="K56" s="31"/>
      <c r="L56" s="31"/>
      <c r="M56" s="31"/>
      <c r="N56" s="31"/>
    </row>
    <row r="57" spans="1:16" ht="21.6" customHeight="1" x14ac:dyDescent="0.25">
      <c r="A57" s="61"/>
      <c r="B57" s="42" t="s">
        <v>77</v>
      </c>
      <c r="C57" s="25" t="s">
        <v>79</v>
      </c>
      <c r="D57" s="25" t="s">
        <v>80</v>
      </c>
      <c r="E57" s="31"/>
      <c r="F57" s="31"/>
      <c r="G57" s="31"/>
      <c r="H57" s="31"/>
      <c r="I57" s="31"/>
      <c r="J57" s="31"/>
      <c r="K57" s="31"/>
      <c r="L57" s="31"/>
      <c r="M57" s="31"/>
      <c r="N57" s="31"/>
    </row>
    <row r="58" spans="1:16" ht="21.6" customHeight="1" x14ac:dyDescent="0.25">
      <c r="A58" s="61"/>
      <c r="B58" s="15">
        <v>1</v>
      </c>
      <c r="C58" s="24"/>
      <c r="D58" s="40"/>
      <c r="E58" s="31"/>
      <c r="F58" s="31"/>
      <c r="G58" s="31"/>
      <c r="H58" s="31"/>
      <c r="I58" s="31"/>
      <c r="J58" s="31"/>
      <c r="K58" s="31"/>
      <c r="L58" s="31"/>
      <c r="M58" s="31"/>
      <c r="N58" s="31"/>
    </row>
    <row r="59" spans="1:16" ht="21.6" customHeight="1" x14ac:dyDescent="0.25">
      <c r="A59" s="61"/>
      <c r="B59" s="15">
        <v>2</v>
      </c>
      <c r="C59" s="24"/>
      <c r="D59" s="40"/>
      <c r="E59" s="31"/>
      <c r="F59" s="31"/>
      <c r="G59" s="31"/>
      <c r="H59" s="31"/>
      <c r="I59" s="31"/>
      <c r="J59" s="31"/>
      <c r="K59" s="31"/>
      <c r="L59" s="31"/>
      <c r="M59" s="31"/>
      <c r="N59" s="31"/>
    </row>
    <row r="60" spans="1:16" ht="21.6" customHeight="1" x14ac:dyDescent="0.25">
      <c r="A60" s="61"/>
      <c r="B60" s="15">
        <v>4</v>
      </c>
      <c r="C60" s="24"/>
      <c r="D60" s="40"/>
      <c r="E60" s="31"/>
      <c r="F60" s="31"/>
      <c r="G60" s="31"/>
      <c r="H60" s="31"/>
      <c r="I60" s="31"/>
      <c r="J60" s="31"/>
      <c r="K60" s="31"/>
      <c r="L60" s="31"/>
      <c r="M60" s="31"/>
      <c r="N60" s="31"/>
    </row>
    <row r="61" spans="1:16" ht="21.6" customHeight="1" x14ac:dyDescent="0.25">
      <c r="A61" s="61"/>
      <c r="B61" s="15">
        <v>6</v>
      </c>
      <c r="C61" s="24"/>
      <c r="D61" s="40"/>
      <c r="E61" s="31"/>
      <c r="F61" s="31"/>
      <c r="G61" s="31"/>
      <c r="H61" s="31"/>
      <c r="I61" s="31"/>
      <c r="J61" s="31"/>
      <c r="K61" s="31"/>
      <c r="L61" s="31"/>
      <c r="M61" s="31"/>
      <c r="N61" s="31"/>
    </row>
    <row r="62" spans="1:16" ht="21.6" customHeight="1" x14ac:dyDescent="0.25">
      <c r="A62" s="61"/>
      <c r="B62" s="15">
        <v>8</v>
      </c>
      <c r="C62" s="24"/>
      <c r="D62" s="40"/>
      <c r="E62" s="31"/>
      <c r="F62" s="31"/>
      <c r="G62" s="31"/>
      <c r="H62" s="31"/>
      <c r="I62" s="31"/>
      <c r="J62" s="31"/>
      <c r="K62" s="31"/>
      <c r="L62" s="31"/>
      <c r="M62" s="31"/>
      <c r="N62" s="31"/>
    </row>
    <row r="63" spans="1:16" ht="21.6" customHeight="1" x14ac:dyDescent="0.25">
      <c r="A63" s="61"/>
      <c r="B63" s="15">
        <v>10</v>
      </c>
      <c r="C63" s="24"/>
      <c r="D63" s="40"/>
      <c r="E63" s="31"/>
      <c r="F63" s="31"/>
      <c r="G63" s="31"/>
      <c r="H63" s="31"/>
      <c r="I63" s="31"/>
      <c r="J63" s="31"/>
      <c r="K63" s="31"/>
      <c r="L63" s="31"/>
      <c r="M63" s="31"/>
      <c r="N63" s="31"/>
    </row>
    <row r="64" spans="1:16" ht="21.6" customHeight="1" x14ac:dyDescent="0.25">
      <c r="A64" s="61"/>
      <c r="B64" s="15">
        <v>12</v>
      </c>
      <c r="C64" s="24"/>
      <c r="D64" s="40"/>
      <c r="E64" s="31"/>
      <c r="F64" s="31"/>
      <c r="G64" s="31"/>
      <c r="H64" s="31"/>
      <c r="I64" s="31"/>
      <c r="J64" s="31"/>
      <c r="K64" s="31"/>
      <c r="L64" s="31"/>
      <c r="M64" s="31"/>
      <c r="N64" s="31"/>
    </row>
    <row r="65" spans="1:14" ht="21.6" customHeight="1" x14ac:dyDescent="0.25">
      <c r="A65" s="61"/>
      <c r="B65" s="15">
        <v>16</v>
      </c>
      <c r="C65" s="24"/>
      <c r="D65" s="40"/>
      <c r="E65" s="31"/>
      <c r="F65" s="31"/>
      <c r="G65" s="31"/>
      <c r="H65" s="31"/>
      <c r="I65" s="31"/>
      <c r="J65" s="31"/>
      <c r="K65" s="31"/>
      <c r="L65" s="31"/>
      <c r="M65" s="31"/>
      <c r="N65" s="31"/>
    </row>
    <row r="66" spans="1:14" ht="21.6" customHeight="1" x14ac:dyDescent="0.25">
      <c r="A66" s="61"/>
      <c r="B66" s="45"/>
      <c r="C66" s="63" t="s">
        <v>96</v>
      </c>
      <c r="D66" s="63"/>
      <c r="E66" s="31"/>
      <c r="F66" s="31"/>
      <c r="G66" s="31"/>
      <c r="H66" s="31"/>
      <c r="I66" s="31"/>
      <c r="J66" s="31"/>
      <c r="K66" s="31"/>
      <c r="L66" s="31"/>
      <c r="M66" s="31"/>
      <c r="N66" s="31"/>
    </row>
    <row r="67" spans="1:14" ht="21.6" customHeight="1" x14ac:dyDescent="0.25">
      <c r="A67" s="61"/>
      <c r="B67" s="42" t="s">
        <v>77</v>
      </c>
      <c r="C67" s="25" t="s">
        <v>79</v>
      </c>
      <c r="D67" s="25" t="s">
        <v>80</v>
      </c>
      <c r="E67" s="43"/>
      <c r="F67" s="43"/>
      <c r="G67" s="43"/>
      <c r="H67" s="16"/>
      <c r="I67" s="16"/>
      <c r="J67" s="16"/>
      <c r="K67" s="16"/>
      <c r="L67" s="16"/>
      <c r="M67" s="16"/>
      <c r="N67" s="16"/>
    </row>
    <row r="68" spans="1:14" ht="21.6" customHeight="1" x14ac:dyDescent="0.25">
      <c r="A68" s="61"/>
      <c r="B68" s="42">
        <v>1</v>
      </c>
      <c r="C68" s="43" t="e">
        <f>C58/C58</f>
        <v>#DIV/0!</v>
      </c>
      <c r="D68" s="43" t="e">
        <f>D58/D58</f>
        <v>#DIV/0!</v>
      </c>
      <c r="E68" s="43"/>
      <c r="F68" s="43"/>
      <c r="G68" s="43"/>
      <c r="H68" s="16"/>
      <c r="I68" s="16"/>
      <c r="J68" s="16"/>
      <c r="K68" s="16"/>
      <c r="L68" s="16"/>
      <c r="M68" s="16"/>
      <c r="N68" s="16"/>
    </row>
    <row r="69" spans="1:14" ht="21.6" customHeight="1" x14ac:dyDescent="0.25">
      <c r="A69" s="61"/>
      <c r="B69" s="42">
        <v>2</v>
      </c>
      <c r="C69" s="43" t="e">
        <f>C58/C59</f>
        <v>#DIV/0!</v>
      </c>
      <c r="D69" s="43" t="e">
        <f>D58/D59</f>
        <v>#DIV/0!</v>
      </c>
      <c r="E69" s="43"/>
      <c r="F69" s="43"/>
      <c r="G69" s="43"/>
      <c r="H69" s="16"/>
      <c r="I69" s="16"/>
      <c r="J69" s="16"/>
      <c r="K69" s="16"/>
      <c r="L69" s="16"/>
      <c r="M69" s="16"/>
      <c r="N69" s="16"/>
    </row>
    <row r="70" spans="1:14" ht="21.6" customHeight="1" x14ac:dyDescent="0.25">
      <c r="A70" s="61"/>
      <c r="B70" s="42">
        <v>4</v>
      </c>
      <c r="C70" s="43" t="e">
        <f>C58/C60</f>
        <v>#DIV/0!</v>
      </c>
      <c r="D70" s="43" t="e">
        <f>D58/D60</f>
        <v>#DIV/0!</v>
      </c>
      <c r="E70" s="43"/>
      <c r="F70" s="43"/>
      <c r="G70" s="43"/>
      <c r="H70" s="16"/>
      <c r="I70" s="16"/>
      <c r="J70" s="16"/>
      <c r="K70" s="16"/>
      <c r="L70" s="16"/>
      <c r="M70" s="16"/>
      <c r="N70" s="16"/>
    </row>
    <row r="71" spans="1:14" ht="21.6" customHeight="1" x14ac:dyDescent="0.25">
      <c r="A71" s="61"/>
      <c r="B71" s="42">
        <v>6</v>
      </c>
      <c r="C71" s="43" t="e">
        <f>C58/C61</f>
        <v>#DIV/0!</v>
      </c>
      <c r="D71" s="43" t="e">
        <f>D58/D61</f>
        <v>#DIV/0!</v>
      </c>
      <c r="E71" s="43"/>
      <c r="F71" s="43"/>
      <c r="G71" s="43"/>
      <c r="H71" s="16"/>
      <c r="I71" s="16"/>
      <c r="J71" s="16"/>
      <c r="K71" s="16"/>
      <c r="L71" s="16"/>
      <c r="M71" s="16"/>
      <c r="N71" s="16"/>
    </row>
    <row r="72" spans="1:14" ht="21.6" customHeight="1" x14ac:dyDescent="0.25">
      <c r="A72" s="61"/>
      <c r="B72" s="42">
        <v>8</v>
      </c>
      <c r="C72" s="43" t="e">
        <f>C58/C62</f>
        <v>#DIV/0!</v>
      </c>
      <c r="D72" s="43" t="e">
        <f>D58/D62</f>
        <v>#DIV/0!</v>
      </c>
      <c r="E72" s="43"/>
      <c r="F72" s="43"/>
      <c r="G72" s="43"/>
      <c r="H72" s="16"/>
      <c r="I72" s="16"/>
      <c r="J72" s="16"/>
      <c r="K72" s="16"/>
      <c r="L72" s="16"/>
      <c r="M72" s="16"/>
      <c r="N72" s="16"/>
    </row>
    <row r="73" spans="1:14" ht="21.6" customHeight="1" x14ac:dyDescent="0.25">
      <c r="A73" s="61"/>
      <c r="B73" s="42">
        <v>10</v>
      </c>
      <c r="C73" s="43" t="e">
        <f>C58/C63</f>
        <v>#DIV/0!</v>
      </c>
      <c r="D73" s="43" t="e">
        <f>D58/D63</f>
        <v>#DIV/0!</v>
      </c>
      <c r="E73" s="43"/>
      <c r="F73" s="43"/>
      <c r="G73" s="43"/>
      <c r="H73" s="16"/>
      <c r="I73" s="16"/>
      <c r="J73" s="16"/>
      <c r="K73" s="16"/>
      <c r="L73" s="16"/>
      <c r="M73" s="16"/>
      <c r="N73" s="16"/>
    </row>
    <row r="74" spans="1:14" ht="21.6" customHeight="1" x14ac:dyDescent="0.25">
      <c r="A74" s="61"/>
      <c r="B74" s="42">
        <v>12</v>
      </c>
      <c r="C74" s="43" t="e">
        <f>C58/C64</f>
        <v>#DIV/0!</v>
      </c>
      <c r="D74" s="43" t="e">
        <f>D58/D64</f>
        <v>#DIV/0!</v>
      </c>
      <c r="E74" s="43"/>
      <c r="F74" s="43"/>
      <c r="G74" s="43"/>
      <c r="H74" s="16"/>
      <c r="I74" s="16"/>
      <c r="J74" s="16"/>
      <c r="K74" s="16"/>
      <c r="L74" s="16"/>
      <c r="M74" s="16"/>
      <c r="N74" s="16"/>
    </row>
    <row r="75" spans="1:14" ht="21.6" customHeight="1" x14ac:dyDescent="0.25">
      <c r="A75" s="61"/>
      <c r="B75" s="42">
        <v>16</v>
      </c>
      <c r="C75" s="43" t="e">
        <f>C58/C65</f>
        <v>#DIV/0!</v>
      </c>
      <c r="D75" s="43" t="e">
        <f>D58/D65</f>
        <v>#DIV/0!</v>
      </c>
      <c r="E75" s="43"/>
      <c r="F75" s="43"/>
      <c r="G75" s="43"/>
      <c r="H75" s="16"/>
      <c r="I75" s="16"/>
      <c r="J75" s="16"/>
      <c r="K75" s="16"/>
      <c r="L75" s="16"/>
      <c r="M75" s="16"/>
      <c r="N75" s="16"/>
    </row>
    <row r="76" spans="1:14" ht="21.6" customHeight="1" x14ac:dyDescent="0.25">
      <c r="A76" s="61"/>
      <c r="B76" s="45"/>
      <c r="C76" s="63" t="s">
        <v>97</v>
      </c>
      <c r="D76" s="63"/>
      <c r="E76" s="43"/>
      <c r="F76" s="43"/>
      <c r="G76" s="43"/>
      <c r="H76" s="16"/>
      <c r="I76" s="16"/>
      <c r="J76" s="16"/>
      <c r="K76" s="16"/>
      <c r="L76" s="16"/>
      <c r="M76" s="16"/>
      <c r="N76" s="16"/>
    </row>
    <row r="77" spans="1:14" ht="21.6" customHeight="1" x14ac:dyDescent="0.25">
      <c r="A77" s="61"/>
      <c r="B77" s="42" t="s">
        <v>77</v>
      </c>
      <c r="C77" s="25" t="s">
        <v>79</v>
      </c>
      <c r="D77" s="25" t="s">
        <v>80</v>
      </c>
      <c r="E77" s="43"/>
      <c r="F77" s="43"/>
      <c r="G77" s="43"/>
      <c r="H77" s="16"/>
      <c r="I77" s="16"/>
      <c r="J77" s="16"/>
      <c r="K77" s="16"/>
      <c r="L77" s="16"/>
      <c r="M77" s="16"/>
      <c r="N77" s="16"/>
    </row>
    <row r="78" spans="1:14" ht="21.6" customHeight="1" x14ac:dyDescent="0.25">
      <c r="A78" s="61"/>
      <c r="B78" s="42">
        <v>1</v>
      </c>
      <c r="C78" s="43" t="e">
        <f>C68/B68</f>
        <v>#DIV/0!</v>
      </c>
      <c r="D78" s="43" t="e">
        <f>D68/B68</f>
        <v>#DIV/0!</v>
      </c>
      <c r="E78" s="43"/>
      <c r="F78" s="43"/>
      <c r="G78" s="43"/>
      <c r="H78" s="16"/>
      <c r="I78" s="16"/>
      <c r="J78" s="16"/>
      <c r="K78" s="16"/>
      <c r="L78" s="16"/>
      <c r="M78" s="16"/>
      <c r="N78" s="16"/>
    </row>
    <row r="79" spans="1:14" ht="21.6" customHeight="1" x14ac:dyDescent="0.25">
      <c r="A79" s="61"/>
      <c r="B79" s="42">
        <v>2</v>
      </c>
      <c r="C79" s="43" t="e">
        <f>C69/B69</f>
        <v>#DIV/0!</v>
      </c>
      <c r="D79" s="43" t="e">
        <f t="shared" ref="D79:D85" si="2">D69/B69</f>
        <v>#DIV/0!</v>
      </c>
      <c r="E79" s="43"/>
      <c r="F79" s="43"/>
      <c r="G79" s="43"/>
      <c r="H79" s="16"/>
      <c r="I79" s="16"/>
      <c r="J79" s="16"/>
      <c r="K79" s="16"/>
      <c r="L79" s="16"/>
      <c r="M79" s="16"/>
      <c r="N79" s="16"/>
    </row>
    <row r="80" spans="1:14" ht="21.6" customHeight="1" x14ac:dyDescent="0.25">
      <c r="A80" s="61"/>
      <c r="B80" s="42">
        <v>4</v>
      </c>
      <c r="C80" s="43" t="e">
        <f t="shared" ref="C80:C85" si="3">C70/B70</f>
        <v>#DIV/0!</v>
      </c>
      <c r="D80" s="43" t="e">
        <f t="shared" si="2"/>
        <v>#DIV/0!</v>
      </c>
      <c r="E80" s="43"/>
      <c r="F80" s="43"/>
      <c r="G80" s="43"/>
      <c r="H80" s="16"/>
      <c r="I80" s="16"/>
      <c r="J80" s="16"/>
      <c r="K80" s="16"/>
      <c r="L80" s="16"/>
      <c r="M80" s="16"/>
      <c r="N80" s="16"/>
    </row>
    <row r="81" spans="1:14" ht="21.6" customHeight="1" x14ac:dyDescent="0.25">
      <c r="A81" s="61"/>
      <c r="B81" s="42">
        <v>6</v>
      </c>
      <c r="C81" s="43" t="e">
        <f t="shared" si="3"/>
        <v>#DIV/0!</v>
      </c>
      <c r="D81" s="43" t="e">
        <f t="shared" si="2"/>
        <v>#DIV/0!</v>
      </c>
      <c r="E81" s="43"/>
      <c r="F81" s="43"/>
      <c r="G81" s="43"/>
      <c r="H81" s="16"/>
      <c r="I81" s="16"/>
      <c r="J81" s="16"/>
      <c r="K81" s="16"/>
      <c r="L81" s="16"/>
      <c r="M81" s="16"/>
      <c r="N81" s="16"/>
    </row>
    <row r="82" spans="1:14" ht="21.6" customHeight="1" x14ac:dyDescent="0.25">
      <c r="A82" s="61"/>
      <c r="B82" s="42">
        <v>8</v>
      </c>
      <c r="C82" s="43" t="e">
        <f t="shared" si="3"/>
        <v>#DIV/0!</v>
      </c>
      <c r="D82" s="43" t="e">
        <f t="shared" si="2"/>
        <v>#DIV/0!</v>
      </c>
      <c r="E82" s="43"/>
      <c r="F82" s="43"/>
      <c r="G82" s="43"/>
      <c r="H82" s="16"/>
      <c r="I82" s="16"/>
      <c r="J82" s="16"/>
      <c r="K82" s="16"/>
      <c r="L82" s="16"/>
      <c r="M82" s="16"/>
      <c r="N82" s="16"/>
    </row>
    <row r="83" spans="1:14" ht="21.6" customHeight="1" x14ac:dyDescent="0.25">
      <c r="A83" s="61"/>
      <c r="B83" s="42">
        <v>10</v>
      </c>
      <c r="C83" s="43" t="e">
        <f t="shared" si="3"/>
        <v>#DIV/0!</v>
      </c>
      <c r="D83" s="43" t="e">
        <f t="shared" si="2"/>
        <v>#DIV/0!</v>
      </c>
      <c r="E83" s="43"/>
      <c r="F83" s="43"/>
      <c r="G83" s="43"/>
      <c r="H83" s="16"/>
      <c r="I83" s="16"/>
      <c r="J83" s="16"/>
      <c r="K83" s="16"/>
      <c r="L83" s="16"/>
      <c r="M83" s="16"/>
      <c r="N83" s="16"/>
    </row>
    <row r="84" spans="1:14" ht="21.6" customHeight="1" x14ac:dyDescent="0.25">
      <c r="A84" s="61"/>
      <c r="B84" s="42">
        <v>12</v>
      </c>
      <c r="C84" s="43" t="e">
        <f t="shared" si="3"/>
        <v>#DIV/0!</v>
      </c>
      <c r="D84" s="43" t="e">
        <f t="shared" si="2"/>
        <v>#DIV/0!</v>
      </c>
      <c r="E84" s="31"/>
      <c r="F84" s="31"/>
      <c r="G84" s="31"/>
      <c r="H84" s="31"/>
      <c r="I84" s="31"/>
      <c r="J84" s="31"/>
      <c r="K84" s="31"/>
      <c r="L84" s="31"/>
      <c r="M84" s="31"/>
      <c r="N84" s="31"/>
    </row>
    <row r="85" spans="1:14" ht="21.6" customHeight="1" x14ac:dyDescent="0.25">
      <c r="A85" s="61"/>
      <c r="B85" s="42">
        <v>16</v>
      </c>
      <c r="C85" s="43" t="e">
        <f t="shared" si="3"/>
        <v>#DIV/0!</v>
      </c>
      <c r="D85" s="43" t="e">
        <f t="shared" si="2"/>
        <v>#DIV/0!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</row>
    <row r="86" spans="1:14" ht="21.6" customHeight="1" x14ac:dyDescent="0.25">
      <c r="A86" s="62"/>
      <c r="B86" s="33" t="s">
        <v>86</v>
      </c>
      <c r="C86" s="64"/>
      <c r="D86" s="64"/>
      <c r="E86" s="64"/>
      <c r="F86" s="64"/>
      <c r="G86" s="64"/>
      <c r="H86" s="64"/>
      <c r="I86" s="64"/>
      <c r="J86" s="64"/>
      <c r="K86" s="64"/>
      <c r="L86" s="64"/>
      <c r="M86" s="64"/>
      <c r="N86" s="64"/>
    </row>
  </sheetData>
  <mergeCells count="21">
    <mergeCell ref="C35:D35"/>
    <mergeCell ref="C25:D25"/>
    <mergeCell ref="C55:N55"/>
    <mergeCell ref="C45:D45"/>
    <mergeCell ref="A25:A55"/>
    <mergeCell ref="A24:L24"/>
    <mergeCell ref="M24:N24"/>
    <mergeCell ref="M1:N1"/>
    <mergeCell ref="A1:L1"/>
    <mergeCell ref="C13:D13"/>
    <mergeCell ref="C2:D2"/>
    <mergeCell ref="C12:N12"/>
    <mergeCell ref="A2:A12"/>
    <mergeCell ref="A13:A23"/>
    <mergeCell ref="B22:B23"/>
    <mergeCell ref="C22:N23"/>
    <mergeCell ref="A56:A86"/>
    <mergeCell ref="C56:D56"/>
    <mergeCell ref="C66:D66"/>
    <mergeCell ref="C76:D76"/>
    <mergeCell ref="C86:N86"/>
  </mergeCells>
  <hyperlinks>
    <hyperlink ref="M1" location="Таблица!A44" display="Соотв. таблица" xr:uid="{4CD65288-3286-4AD3-A58F-54F99559607B}"/>
    <hyperlink ref="M24" location="Таблица!A44" display="Соотв. таблица" xr:uid="{9D7BFC76-831B-45ED-A711-BD69FCBDF5EA}"/>
    <hyperlink ref="M1:N1" location="Таблица!A31" display="Соотв. таблица" xr:uid="{A11C2496-942C-485E-9C90-BC6832A5FEFB}"/>
  </hyperlink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9BDC4-CFAE-4A4A-95F0-395DE59C8746}">
  <dimension ref="M10:M14"/>
  <sheetViews>
    <sheetView workbookViewId="0">
      <selection activeCell="M11" sqref="M11"/>
    </sheetView>
  </sheetViews>
  <sheetFormatPr defaultRowHeight="22.1" x14ac:dyDescent="0.3"/>
  <cols>
    <col min="1" max="16384" width="9.140625" style="41"/>
  </cols>
  <sheetData>
    <row r="10" spans="13:13" x14ac:dyDescent="0.3">
      <c r="M10" s="46" t="s">
        <v>93</v>
      </c>
    </row>
    <row r="11" spans="13:13" x14ac:dyDescent="0.3">
      <c r="M11" s="41" t="s">
        <v>98</v>
      </c>
    </row>
    <row r="12" spans="13:13" x14ac:dyDescent="0.3">
      <c r="M12" s="41" t="s">
        <v>99</v>
      </c>
    </row>
    <row r="13" spans="13:13" x14ac:dyDescent="0.3">
      <c r="M13" s="41" t="s">
        <v>100</v>
      </c>
    </row>
    <row r="14" spans="13:13" x14ac:dyDescent="0.3">
      <c r="M14" s="41" t="s">
        <v>101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Таблица</vt:lpstr>
      <vt:lpstr>Графики</vt:lpstr>
      <vt:lpstr>Про процессор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</dc:creator>
  <cp:lastModifiedBy>Maxim</cp:lastModifiedBy>
  <dcterms:created xsi:type="dcterms:W3CDTF">2015-06-05T18:19:34Z</dcterms:created>
  <dcterms:modified xsi:type="dcterms:W3CDTF">2025-12-09T16:03:32Z</dcterms:modified>
</cp:coreProperties>
</file>
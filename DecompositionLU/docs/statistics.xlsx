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0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5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6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7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8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9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0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1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2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3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4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5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6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7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8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9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30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31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32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33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4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Maxim\source\repos\practice\SECOND_COURSE\FOR_ITLAB\ArchBenchs\DecompositionLU\docs\"/>
    </mc:Choice>
  </mc:AlternateContent>
  <xr:revisionPtr revIDLastSave="0" documentId="13_ncr:1_{10EC723C-D471-490B-9B42-2551FCE50A64}" xr6:coauthVersionLast="45" xr6:coauthVersionMax="45" xr10:uidLastSave="{00000000-0000-0000-0000-000000000000}"/>
  <bookViews>
    <workbookView xWindow="-114" yWindow="-114" windowWidth="27602" windowHeight="15027" activeTab="1" xr2:uid="{00000000-000D-0000-FFFF-FFFF00000000}"/>
  </bookViews>
  <sheets>
    <sheet name="Таблица" sheetId="1" r:id="rId1"/>
    <sheet name="Графики" sheetId="2" r:id="rId2"/>
    <sheet name="Про процессор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59" i="2" l="1"/>
  <c r="E147" i="2"/>
  <c r="E161" i="2" s="1"/>
  <c r="C144" i="2"/>
  <c r="C158" i="2" s="1"/>
  <c r="D144" i="2"/>
  <c r="D158" i="2" s="1"/>
  <c r="E144" i="2"/>
  <c r="E158" i="2" s="1"/>
  <c r="C145" i="2"/>
  <c r="C159" i="2" s="1"/>
  <c r="D145" i="2"/>
  <c r="E145" i="2"/>
  <c r="E159" i="2" s="1"/>
  <c r="C146" i="2"/>
  <c r="C160" i="2" s="1"/>
  <c r="D146" i="2"/>
  <c r="D160" i="2" s="1"/>
  <c r="E146" i="2"/>
  <c r="E160" i="2" s="1"/>
  <c r="C147" i="2"/>
  <c r="C161" i="2" s="1"/>
  <c r="D147" i="2"/>
  <c r="D161" i="2" s="1"/>
  <c r="E143" i="2"/>
  <c r="D143" i="2"/>
  <c r="C143" i="2"/>
  <c r="C157" i="2" s="1"/>
  <c r="C142" i="2"/>
  <c r="C156" i="2" s="1"/>
  <c r="E136" i="2" l="1"/>
  <c r="E150" i="2" s="1"/>
  <c r="E137" i="2"/>
  <c r="E151" i="2" s="1"/>
  <c r="E138" i="2"/>
  <c r="E152" i="2" s="1"/>
  <c r="E139" i="2"/>
  <c r="E153" i="2" s="1"/>
  <c r="E140" i="2"/>
  <c r="E154" i="2" s="1"/>
  <c r="E141" i="2"/>
  <c r="E155" i="2" s="1"/>
  <c r="E142" i="2"/>
  <c r="E156" i="2" s="1"/>
  <c r="E157" i="2"/>
  <c r="D138" i="2"/>
  <c r="D152" i="2" s="1"/>
  <c r="E101" i="2"/>
  <c r="E111" i="2" s="1"/>
  <c r="E102" i="2"/>
  <c r="E112" i="2" s="1"/>
  <c r="E103" i="2"/>
  <c r="E113" i="2" s="1"/>
  <c r="E104" i="2"/>
  <c r="E114" i="2" s="1"/>
  <c r="E105" i="2"/>
  <c r="E115" i="2" s="1"/>
  <c r="E106" i="2"/>
  <c r="E116" i="2" s="1"/>
  <c r="E107" i="2"/>
  <c r="E117" i="2" s="1"/>
  <c r="E108" i="2"/>
  <c r="E118" i="2" s="1"/>
  <c r="C102" i="2"/>
  <c r="C112" i="2" s="1"/>
  <c r="C103" i="2"/>
  <c r="C113" i="2" s="1"/>
  <c r="C104" i="2"/>
  <c r="C114" i="2" s="1"/>
  <c r="C105" i="2"/>
  <c r="C115" i="2" s="1"/>
  <c r="C106" i="2"/>
  <c r="C116" i="2" s="1"/>
  <c r="C107" i="2"/>
  <c r="C117" i="2" s="1"/>
  <c r="C108" i="2"/>
  <c r="C118" i="2" s="1"/>
  <c r="D108" i="2"/>
  <c r="D118" i="2" s="1"/>
  <c r="D107" i="2"/>
  <c r="D117" i="2" s="1"/>
  <c r="D106" i="2"/>
  <c r="D116" i="2" s="1"/>
  <c r="D105" i="2"/>
  <c r="D115" i="2" s="1"/>
  <c r="D104" i="2"/>
  <c r="D114" i="2" s="1"/>
  <c r="D103" i="2"/>
  <c r="D113" i="2" s="1"/>
  <c r="D102" i="2"/>
  <c r="D112" i="2" s="1"/>
  <c r="D101" i="2"/>
  <c r="D111" i="2" s="1"/>
  <c r="C101" i="2" l="1"/>
  <c r="C111" i="2" s="1"/>
  <c r="D157" i="2" l="1"/>
  <c r="D142" i="2"/>
  <c r="D156" i="2" s="1"/>
  <c r="C141" i="2"/>
  <c r="C155" i="2" s="1"/>
  <c r="D141" i="2"/>
  <c r="D155" i="2" s="1"/>
  <c r="C140" i="2"/>
  <c r="C154" i="2" s="1"/>
  <c r="D140" i="2"/>
  <c r="D154" i="2" s="1"/>
  <c r="C139" i="2"/>
  <c r="C153" i="2" s="1"/>
  <c r="D139" i="2"/>
  <c r="D153" i="2" s="1"/>
  <c r="C138" i="2"/>
  <c r="C152" i="2" s="1"/>
  <c r="C137" i="2"/>
  <c r="C151" i="2" s="1"/>
  <c r="D137" i="2"/>
  <c r="D151" i="2" s="1"/>
  <c r="C136" i="2"/>
  <c r="C150" i="2" s="1"/>
  <c r="D136" i="2"/>
  <c r="D150" i="2" s="1"/>
  <c r="D76" i="2"/>
  <c r="D86" i="2" s="1"/>
  <c r="C76" i="2"/>
  <c r="C86" i="2" s="1"/>
  <c r="D75" i="2"/>
  <c r="D85" i="2" s="1"/>
  <c r="C75" i="2"/>
  <c r="C85" i="2" s="1"/>
  <c r="D74" i="2"/>
  <c r="D84" i="2" s="1"/>
  <c r="C74" i="2"/>
  <c r="C84" i="2" s="1"/>
  <c r="D73" i="2"/>
  <c r="D83" i="2" s="1"/>
  <c r="C73" i="2"/>
  <c r="C83" i="2" s="1"/>
  <c r="D72" i="2"/>
  <c r="D82" i="2" s="1"/>
  <c r="C72" i="2"/>
  <c r="C82" i="2" s="1"/>
  <c r="D71" i="2"/>
  <c r="D81" i="2" s="1"/>
  <c r="C71" i="2"/>
  <c r="C81" i="2" s="1"/>
  <c r="D70" i="2"/>
  <c r="D80" i="2" s="1"/>
  <c r="C70" i="2"/>
  <c r="C80" i="2" s="1"/>
  <c r="D69" i="2"/>
  <c r="D79" i="2" s="1"/>
  <c r="C69" i="2"/>
  <c r="C79" i="2" s="1"/>
  <c r="D44" i="2" l="1"/>
  <c r="D54" i="2" s="1"/>
  <c r="D43" i="2"/>
  <c r="D53" i="2" s="1"/>
  <c r="D42" i="2"/>
  <c r="D52" i="2" s="1"/>
  <c r="D41" i="2"/>
  <c r="D51" i="2" s="1"/>
  <c r="D40" i="2"/>
  <c r="D50" i="2" s="1"/>
  <c r="D39" i="2"/>
  <c r="D49" i="2" s="1"/>
  <c r="D38" i="2"/>
  <c r="D48" i="2" s="1"/>
  <c r="D37" i="2"/>
  <c r="D47" i="2" s="1"/>
  <c r="C44" i="2"/>
  <c r="C54" i="2" s="1"/>
  <c r="C43" i="2"/>
  <c r="C53" i="2" s="1"/>
  <c r="C42" i="2"/>
  <c r="C52" i="2" s="1"/>
  <c r="C41" i="2"/>
  <c r="C51" i="2" s="1"/>
  <c r="C40" i="2"/>
  <c r="C50" i="2" s="1"/>
  <c r="C39" i="2"/>
  <c r="C49" i="2" s="1"/>
  <c r="C38" i="2"/>
  <c r="C48" i="2" s="1"/>
  <c r="C37" i="2"/>
  <c r="C47" i="2" s="1"/>
</calcChain>
</file>

<file path=xl/sharedStrings.xml><?xml version="1.0" encoding="utf-8"?>
<sst xmlns="http://schemas.openxmlformats.org/spreadsheetml/2006/main" count="253" uniqueCount="125">
  <si>
    <t>Я не уверен, будет ли это использоваться в готовой презентации и так ли это надо делать, если да, так что пока считаем, что файл для личного пользования.</t>
  </si>
  <si>
    <t>В этом файле будет находиться статистика версий программы, а именно время выполнения теста на оптимизацию и используемая им память.</t>
  </si>
  <si>
    <t xml:space="preserve">Для замеров времени предполагается использовать CRONO, "замеры" памяти грубо прикидываются автором. </t>
  </si>
  <si>
    <t>Главное - не забывать замеры вести и заранее нарисовать красивую табличку со шрифтом по ГОСТу, остальное приложится</t>
  </si>
  <si>
    <t xml:space="preserve">Использованная память: </t>
  </si>
  <si>
    <t>n^2</t>
  </si>
  <si>
    <t>Величина n (длина строки/столбца):</t>
  </si>
  <si>
    <t>Время инициализации матрицы (случ. значения), мс:</t>
  </si>
  <si>
    <t>Время вычисления LU разложения, мс:</t>
  </si>
  <si>
    <t>Общее время выполнения теста, мс:</t>
  </si>
  <si>
    <t>неизвестно</t>
  </si>
  <si>
    <r>
      <t>Компилятор:</t>
    </r>
    <r>
      <rPr>
        <b/>
        <sz val="14"/>
        <color rgb="FF0070C0"/>
        <rFont val="GOST Common"/>
        <family val="2"/>
        <charset val="204"/>
      </rPr>
      <t xml:space="preserve"> Intel oneApi</t>
    </r>
    <r>
      <rPr>
        <sz val="14"/>
        <color theme="1"/>
        <rFont val="GOST Common"/>
        <family val="2"/>
        <charset val="204"/>
      </rPr>
      <t xml:space="preserve">, конфигурация: </t>
    </r>
    <r>
      <rPr>
        <b/>
        <sz val="14"/>
        <color rgb="FF0070C0"/>
        <rFont val="GOST Common"/>
        <family val="2"/>
        <charset val="204"/>
      </rPr>
      <t>Release</t>
    </r>
  </si>
  <si>
    <r>
      <t xml:space="preserve">Компилятор: </t>
    </r>
    <r>
      <rPr>
        <b/>
        <sz val="14"/>
        <color rgb="FF0070C0"/>
        <rFont val="GOST Common"/>
        <family val="2"/>
        <charset val="204"/>
      </rPr>
      <t>Visual Studio</t>
    </r>
    <r>
      <rPr>
        <sz val="14"/>
        <color theme="1"/>
        <rFont val="GOST Common"/>
        <family val="2"/>
        <charset val="204"/>
      </rPr>
      <t xml:space="preserve">, конфигурация: </t>
    </r>
    <r>
      <rPr>
        <b/>
        <sz val="14"/>
        <color rgb="FF0070C0"/>
        <rFont val="GOST Common"/>
        <family val="2"/>
        <charset val="204"/>
      </rPr>
      <t>Release</t>
    </r>
  </si>
  <si>
    <t>35931 (35,9 сек)</t>
  </si>
  <si>
    <t>36130 (36,1 сек)</t>
  </si>
  <si>
    <t>816373 (816,4 сек)</t>
  </si>
  <si>
    <t>817418 (817,4 сек)</t>
  </si>
  <si>
    <t>3731587 (3731,6 сек)</t>
  </si>
  <si>
    <t>3733384 (3733,4 сек)</t>
  </si>
  <si>
    <t>39196 (39,2 сек)</t>
  </si>
  <si>
    <t>39431 (39,4 сек)</t>
  </si>
  <si>
    <t>На момент создания этой версии, тесты не проводились</t>
  </si>
  <si>
    <t>Версия 1.0 (последовательная, не блочная)</t>
  </si>
  <si>
    <t>~10</t>
  </si>
  <si>
    <t>~292</t>
  </si>
  <si>
    <t>~303</t>
  </si>
  <si>
    <t>~86</t>
  </si>
  <si>
    <t>~9241 (9,2 сек)</t>
  </si>
  <si>
    <t>~9328 (9,3 сек)</t>
  </si>
  <si>
    <t>~701</t>
  </si>
  <si>
    <t>~119878 (119,9 сек)</t>
  </si>
  <si>
    <t>~120579 (120,6 сек)</t>
  </si>
  <si>
    <t>Версия 1.1 (та же 1.0, но с улучшением обхода памяти и генератора)</t>
  </si>
  <si>
    <t>~1320</t>
  </si>
  <si>
    <t>~319947 (319,9 сек)</t>
  </si>
  <si>
    <t>~321267 (321,3 сек)</t>
  </si>
  <si>
    <t>~13</t>
  </si>
  <si>
    <t>~317</t>
  </si>
  <si>
    <t>~330</t>
  </si>
  <si>
    <t>~96</t>
  </si>
  <si>
    <t>а почему</t>
  </si>
  <si>
    <t>~543</t>
  </si>
  <si>
    <t>~110071 (110,1 сек)</t>
  </si>
  <si>
    <t>~110614 (110,6 сек)</t>
  </si>
  <si>
    <t>~8058 (8,1 сек)</t>
  </si>
  <si>
    <t>~8155 (8,2 сек)</t>
  </si>
  <si>
    <t>~1689</t>
  </si>
  <si>
    <t>А ПОЧЕМУ</t>
  </si>
  <si>
    <t>~355642 (355,6 сек)</t>
  </si>
  <si>
    <t>~357332 (357,3 сек)</t>
  </si>
  <si>
    <t>а тут логично…</t>
  </si>
  <si>
    <t>~1162</t>
  </si>
  <si>
    <t>~673</t>
  </si>
  <si>
    <t>~318250 (318,3 сек)</t>
  </si>
  <si>
    <t>~319412 (319,4 сек)</t>
  </si>
  <si>
    <t xml:space="preserve"> ~106711 (106,7 сек)</t>
  </si>
  <si>
    <t>~107385 (107,4 сек)</t>
  </si>
  <si>
    <t>~130</t>
  </si>
  <si>
    <t>~8692 (8,7 сек)</t>
  </si>
  <si>
    <t>~8822 (8,8 сек)</t>
  </si>
  <si>
    <t>~16</t>
  </si>
  <si>
    <t>~106</t>
  </si>
  <si>
    <t>~122</t>
  </si>
  <si>
    <t>~1007</t>
  </si>
  <si>
    <t>~306040 (306 сек)</t>
  </si>
  <si>
    <t>~307048 (307 сек)</t>
  </si>
  <si>
    <t>А ПОЧЕМУ ТАК</t>
  </si>
  <si>
    <t>~522</t>
  </si>
  <si>
    <t>~106596 (106,6 сек)</t>
  </si>
  <si>
    <t>~107118 (107,1 сек)</t>
  </si>
  <si>
    <t>Версия 2.0 (распараллеленная версия 1.1)</t>
  </si>
  <si>
    <t>~154</t>
  </si>
  <si>
    <t>~7321 (7,3 сек)</t>
  </si>
  <si>
    <t>~7475 (7,5 сек)</t>
  </si>
  <si>
    <t>~21</t>
  </si>
  <si>
    <t>~61</t>
  </si>
  <si>
    <t>~82</t>
  </si>
  <si>
    <t>Кол-во потоков</t>
  </si>
  <si>
    <t>Время вычисления</t>
  </si>
  <si>
    <t>n = 5000</t>
  </si>
  <si>
    <t>n = 3000</t>
  </si>
  <si>
    <t>Я искренне не понимаю этих результатов</t>
  </si>
  <si>
    <t>Версия 3.0 (блочная версия алгоритма)</t>
  </si>
  <si>
    <t>Хотя бы здесь логично</t>
  </si>
  <si>
    <t>Замеры версии 2.0</t>
  </si>
  <si>
    <t>Замеры на ноутбуке, данные процессора на вкладке "про процессор"</t>
  </si>
  <si>
    <t>Комментарии:</t>
  </si>
  <si>
    <t>Замеры на учебном компьютере, число физ ядер - 6 и лог ядер - 12</t>
  </si>
  <si>
    <t>Функция плохо распараллеливается больше чем на 4 потока</t>
  </si>
  <si>
    <t>Замеры версии 3.0</t>
  </si>
  <si>
    <t>Соотв. таблица</t>
  </si>
  <si>
    <t>Соотв. графики</t>
  </si>
  <si>
    <t>Соотв. Графики</t>
  </si>
  <si>
    <t>Intel Core i5-1240P 12th Gen</t>
  </si>
  <si>
    <t>LU</t>
  </si>
  <si>
    <t>блок</t>
  </si>
  <si>
    <t>Ускорение S</t>
  </si>
  <si>
    <t>Эффективность</t>
  </si>
  <si>
    <t>4 производительных, 8 энергосберегающих ядер</t>
  </si>
  <si>
    <t>Производительные: ~1.7-2.1 GHz, ~4.4 Ghz, hyperthreading</t>
  </si>
  <si>
    <t>Энергосберегающие: ~1.2-1.5 GHz, ~3.3 GHz</t>
  </si>
  <si>
    <t>12 Мб кэша третьего уровня, 10 Мб - второго</t>
  </si>
  <si>
    <t>Не жили нормально, нечего и начинать. Хотя бы плавный график, но как только включаются энергосберегающие ядра, параллелизация буксует.</t>
  </si>
  <si>
    <t>Замеры версии 3.1</t>
  </si>
  <si>
    <t>Версия 3.1 (доработанная версия 3.0)</t>
  </si>
  <si>
    <t>славно</t>
  </si>
  <si>
    <t>Скорость - лучшая. Графики - кошмарные.</t>
  </si>
  <si>
    <t>Замеры версии 3.2</t>
  </si>
  <si>
    <t>Замеры на кластере</t>
  </si>
  <si>
    <t>Версия 3.2</t>
  </si>
  <si>
    <r>
      <t>Компилятор:</t>
    </r>
    <r>
      <rPr>
        <b/>
        <sz val="14"/>
        <color rgb="FF0070C0"/>
        <rFont val="GOST Common"/>
        <family val="2"/>
        <charset val="204"/>
      </rPr>
      <t xml:space="preserve"> Intel oneApi</t>
    </r>
  </si>
  <si>
    <r>
      <t>Компилятор:</t>
    </r>
    <r>
      <rPr>
        <b/>
        <sz val="14"/>
        <color rgb="FF0070C0"/>
        <rFont val="GOST Common"/>
        <family val="2"/>
        <charset val="204"/>
      </rPr>
      <t xml:space="preserve"> icpx 2023</t>
    </r>
  </si>
  <si>
    <t>n = 10000</t>
  </si>
  <si>
    <t>&gt;---------&lt; Соотв. Таблица &gt;---------&lt;</t>
  </si>
  <si>
    <t>Мне нравятся результаты, но есть ощущение, что можно лучше. Графики точно не самые хорошие.</t>
  </si>
  <si>
    <t>окак</t>
  </si>
  <si>
    <t>Про кластер:</t>
  </si>
  <si>
    <t>[simonov_m@master build]$ lscpu | grep -E "^(CPU\(s\)|Core\(s\) per socket|Socket\(s\)|NUMA)"</t>
  </si>
  <si>
    <t>CPU(s):                8</t>
  </si>
  <si>
    <t>Core(s) per socket:    1</t>
  </si>
  <si>
    <t>Socket(s):             8</t>
  </si>
  <si>
    <t>NUMA node(s):          1</t>
  </si>
  <si>
    <t>NUMA node0 CPU(s):     0-7</t>
  </si>
  <si>
    <t>n = 15000</t>
  </si>
  <si>
    <t>В ходе работы выяснил следующее - на миникластере 2 процессора по 10 физ ядер, балансировать их надо так: число потоков &lt;= 10 - все на одном, &gt;10 - поровну, но на каждом четное количество.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</si>
</sst>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4"/>
      <color theme="1"/>
      <name val="GOST Common"/>
      <family val="2"/>
      <charset val="204"/>
    </font>
    <font>
      <sz val="14"/>
      <color theme="9" tint="-0.249977111117893"/>
      <name val="GOST Common"/>
      <family val="2"/>
      <charset val="204"/>
    </font>
    <font>
      <i/>
      <sz val="14"/>
      <color theme="0"/>
      <name val="GOST Common"/>
      <family val="2"/>
      <charset val="204"/>
    </font>
    <font>
      <b/>
      <sz val="14"/>
      <color theme="0"/>
      <name val="GOST Common"/>
      <family val="2"/>
      <charset val="204"/>
    </font>
    <font>
      <sz val="14"/>
      <name val="GOST Common"/>
      <family val="2"/>
      <charset val="204"/>
    </font>
    <font>
      <b/>
      <sz val="14"/>
      <color rgb="FF0070C0"/>
      <name val="GOST Common"/>
      <family val="2"/>
      <charset val="204"/>
    </font>
    <font>
      <sz val="14"/>
      <color rgb="FF0070C0"/>
      <name val="GOST Common"/>
      <family val="2"/>
      <charset val="204"/>
    </font>
    <font>
      <sz val="8"/>
      <name val="Calibri"/>
      <family val="2"/>
      <scheme val="minor"/>
    </font>
    <font>
      <b/>
      <sz val="14"/>
      <color theme="1"/>
      <name val="GOST Common"/>
      <family val="2"/>
      <charset val="204"/>
    </font>
    <font>
      <b/>
      <sz val="14"/>
      <name val="GOST Common"/>
      <family val="2"/>
      <charset val="204"/>
    </font>
    <font>
      <i/>
      <sz val="14"/>
      <color rgb="FF0070C0"/>
      <name val="GOST Common"/>
      <family val="2"/>
      <charset val="204"/>
    </font>
    <font>
      <i/>
      <sz val="14"/>
      <name val="GOST Common"/>
      <family val="2"/>
      <charset val="204"/>
    </font>
    <font>
      <sz val="11"/>
      <color theme="1"/>
      <name val="GOST Common"/>
      <family val="2"/>
      <charset val="204"/>
    </font>
    <font>
      <i/>
      <sz val="14"/>
      <color theme="1"/>
      <name val="GOST Common"/>
      <family val="2"/>
      <charset val="204"/>
    </font>
    <font>
      <sz val="18"/>
      <color theme="1"/>
      <name val="GOST Common"/>
      <family val="2"/>
      <charset val="204"/>
    </font>
    <font>
      <b/>
      <sz val="18"/>
      <color theme="1"/>
      <name val="GOST Common"/>
      <family val="2"/>
      <charset val="204"/>
    </font>
    <font>
      <u/>
      <sz val="11"/>
      <color theme="10"/>
      <name val="Calibri"/>
      <family val="2"/>
      <scheme val="minor"/>
    </font>
    <font>
      <b/>
      <sz val="14"/>
      <color theme="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90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5" fillId="0" borderId="1" xfId="0" applyFont="1" applyFill="1" applyBorder="1"/>
    <xf numFmtId="0" fontId="1" fillId="0" borderId="1" xfId="0" applyFont="1" applyBorder="1" applyAlignment="1">
      <alignment horizontal="left"/>
    </xf>
    <xf numFmtId="0" fontId="1" fillId="0" borderId="0" xfId="0" applyFont="1" applyFill="1"/>
    <xf numFmtId="0" fontId="2" fillId="0" borderId="0" xfId="0" applyFont="1" applyAlignment="1"/>
    <xf numFmtId="0" fontId="6" fillId="0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9" fillId="0" borderId="1" xfId="0" applyFont="1" applyBorder="1"/>
    <xf numFmtId="0" fontId="3" fillId="0" borderId="0" xfId="0" applyFont="1" applyFill="1" applyAlignment="1">
      <alignment vertical="center"/>
    </xf>
    <xf numFmtId="0" fontId="10" fillId="0" borderId="1" xfId="0" applyFont="1" applyBorder="1" applyAlignment="1">
      <alignment horizontal="center"/>
    </xf>
    <xf numFmtId="0" fontId="1" fillId="0" borderId="1" xfId="0" applyFont="1" applyBorder="1"/>
    <xf numFmtId="0" fontId="6" fillId="0" borderId="0" xfId="0" applyFont="1" applyFill="1" applyBorder="1" applyAlignment="1">
      <alignment horizontal="center"/>
    </xf>
    <xf numFmtId="0" fontId="1" fillId="0" borderId="0" xfId="0" applyFont="1" applyBorder="1"/>
    <xf numFmtId="0" fontId="9" fillId="0" borderId="0" xfId="0" applyFont="1" applyBorder="1"/>
    <xf numFmtId="0" fontId="10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1" fillId="0" borderId="0" xfId="0" applyFont="1" applyBorder="1" applyAlignment="1">
      <alignment horizontal="right"/>
    </xf>
    <xf numFmtId="0" fontId="12" fillId="0" borderId="1" xfId="0" applyFont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0" fontId="13" fillId="0" borderId="0" xfId="0" applyFont="1"/>
    <xf numFmtId="0" fontId="13" fillId="0" borderId="0" xfId="0" applyFont="1" applyBorder="1"/>
    <xf numFmtId="0" fontId="6" fillId="0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3" fillId="0" borderId="0" xfId="0" applyFont="1" applyFill="1" applyBorder="1"/>
    <xf numFmtId="0" fontId="13" fillId="0" borderId="1" xfId="0" applyFont="1" applyBorder="1"/>
    <xf numFmtId="0" fontId="13" fillId="0" borderId="1" xfId="0" applyFont="1" applyFill="1" applyBorder="1"/>
    <xf numFmtId="0" fontId="9" fillId="4" borderId="1" xfId="0" applyFont="1" applyFill="1" applyBorder="1" applyAlignment="1">
      <alignment vertical="center"/>
    </xf>
    <xf numFmtId="0" fontId="13" fillId="0" borderId="6" xfId="0" applyFont="1" applyBorder="1"/>
    <xf numFmtId="0" fontId="4" fillId="0" borderId="0" xfId="0" applyFont="1" applyFill="1" applyBorder="1" applyAlignment="1"/>
    <xf numFmtId="0" fontId="4" fillId="0" borderId="9" xfId="0" applyFont="1" applyFill="1" applyBorder="1" applyAlignment="1"/>
    <xf numFmtId="0" fontId="13" fillId="0" borderId="9" xfId="0" applyFont="1" applyFill="1" applyBorder="1"/>
    <xf numFmtId="0" fontId="13" fillId="0" borderId="9" xfId="0" applyFont="1" applyBorder="1"/>
    <xf numFmtId="0" fontId="11" fillId="0" borderId="9" xfId="0" applyFont="1" applyBorder="1" applyAlignment="1">
      <alignment horizontal="right"/>
    </xf>
    <xf numFmtId="0" fontId="14" fillId="0" borderId="1" xfId="0" applyFont="1" applyBorder="1" applyAlignment="1">
      <alignment horizontal="center"/>
    </xf>
    <xf numFmtId="0" fontId="15" fillId="0" borderId="0" xfId="0" applyFont="1"/>
    <xf numFmtId="0" fontId="9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6" fillId="0" borderId="0" xfId="0" applyFont="1"/>
    <xf numFmtId="0" fontId="6" fillId="0" borderId="1" xfId="0" applyFont="1" applyFill="1" applyBorder="1" applyAlignment="1">
      <alignment horizontal="center"/>
    </xf>
    <xf numFmtId="0" fontId="9" fillId="4" borderId="2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7" fillId="0" borderId="2" xfId="0" applyFont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18" fillId="5" borderId="6" xfId="1" applyFont="1" applyFill="1" applyBorder="1" applyAlignment="1">
      <alignment horizontal="center"/>
    </xf>
    <xf numFmtId="0" fontId="18" fillId="5" borderId="8" xfId="1" applyFont="1" applyFill="1" applyBorder="1" applyAlignment="1">
      <alignment horizontal="center"/>
    </xf>
    <xf numFmtId="0" fontId="18" fillId="5" borderId="7" xfId="1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 textRotation="90" wrapText="1"/>
    </xf>
    <xf numFmtId="0" fontId="1" fillId="3" borderId="3" xfId="0" applyFont="1" applyFill="1" applyBorder="1" applyAlignment="1">
      <alignment horizontal="center" vertical="center" textRotation="90" wrapText="1"/>
    </xf>
    <xf numFmtId="0" fontId="1" fillId="4" borderId="13" xfId="0" applyFont="1" applyFill="1" applyBorder="1" applyAlignment="1">
      <alignment horizontal="left"/>
    </xf>
    <xf numFmtId="0" fontId="1" fillId="4" borderId="5" xfId="0" applyFont="1" applyFill="1" applyBorder="1" applyAlignment="1">
      <alignment horizontal="left"/>
    </xf>
    <xf numFmtId="0" fontId="1" fillId="4" borderId="14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0" fontId="4" fillId="2" borderId="10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9" fillId="6" borderId="6" xfId="0" applyFont="1" applyFill="1" applyBorder="1" applyAlignment="1">
      <alignment horizontal="center"/>
    </xf>
    <xf numFmtId="0" fontId="9" fillId="6" borderId="8" xfId="0" applyFont="1" applyFill="1" applyBorder="1" applyAlignment="1">
      <alignment horizontal="center"/>
    </xf>
    <xf numFmtId="0" fontId="9" fillId="6" borderId="7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/>
    </xf>
    <xf numFmtId="0" fontId="1" fillId="4" borderId="6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 vertical="center" textRotation="90" wrapText="1"/>
    </xf>
    <xf numFmtId="0" fontId="9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1" fillId="4" borderId="8" xfId="0" applyFont="1" applyFill="1" applyBorder="1" applyAlignment="1">
      <alignment horizontal="left"/>
    </xf>
    <xf numFmtId="0" fontId="1" fillId="4" borderId="7" xfId="0" applyFont="1" applyFill="1" applyBorder="1" applyAlignment="1">
      <alignment horizontal="left"/>
    </xf>
    <xf numFmtId="0" fontId="1" fillId="3" borderId="14" xfId="0" applyFont="1" applyFill="1" applyBorder="1" applyAlignment="1">
      <alignment horizontal="center" vertical="center" textRotation="90" wrapText="1"/>
    </xf>
    <xf numFmtId="0" fontId="1" fillId="3" borderId="15" xfId="0" applyFont="1" applyFill="1" applyBorder="1" applyAlignment="1">
      <alignment horizontal="center" vertical="center" textRotation="90" wrapText="1"/>
    </xf>
    <xf numFmtId="0" fontId="10" fillId="7" borderId="1" xfId="0" applyFont="1" applyFill="1" applyBorder="1" applyAlignment="1">
      <alignment horizontal="center"/>
    </xf>
    <xf numFmtId="0" fontId="14" fillId="7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r>
              <a:rPr lang="en-US"/>
              <a:t>n = 5000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Графики!$B$4:$B$11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cat>
          <c:val>
            <c:numRef>
              <c:f>Графики!$C$4:$C$11</c:f>
              <c:numCache>
                <c:formatCode>General</c:formatCode>
                <c:ptCount val="8"/>
                <c:pt idx="0">
                  <c:v>40525</c:v>
                </c:pt>
                <c:pt idx="1">
                  <c:v>40933</c:v>
                </c:pt>
                <c:pt idx="2">
                  <c:v>34657</c:v>
                </c:pt>
                <c:pt idx="3">
                  <c:v>38071</c:v>
                </c:pt>
                <c:pt idx="4">
                  <c:v>37594</c:v>
                </c:pt>
                <c:pt idx="5">
                  <c:v>36931</c:v>
                </c:pt>
                <c:pt idx="6">
                  <c:v>40896</c:v>
                </c:pt>
                <c:pt idx="7">
                  <c:v>39364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EE-49E8-A7D9-F83A800C7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630848"/>
        <c:axId val="141640832"/>
      </c:lineChart>
      <c:catAx>
        <c:axId val="14163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endParaRPr lang="ru-RU"/>
          </a:p>
        </c:txPr>
        <c:crossAx val="141640832"/>
        <c:crosses val="autoZero"/>
        <c:auto val="1"/>
        <c:lblAlgn val="ctr"/>
        <c:lblOffset val="100"/>
        <c:noMultiLvlLbl val="0"/>
      </c:catAx>
      <c:valAx>
        <c:axId val="141640832"/>
        <c:scaling>
          <c:orientation val="minMax"/>
          <c:min val="3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endParaRPr lang="ru-RU"/>
          </a:p>
        </c:txPr>
        <c:crossAx val="141630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GOST Common" panose="020B0604020202020204" pitchFamily="34" charset="0"/>
        </a:defRPr>
      </a:pPr>
      <a:endParaRPr lang="ru-RU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r>
              <a:rPr lang="en-US"/>
              <a:t>n = 3000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Графики!$B$4:$B$11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cat>
          <c:val>
            <c:numRef>
              <c:f>Графики!$D$4:$D$11</c:f>
              <c:numCache>
                <c:formatCode>General</c:formatCode>
                <c:ptCount val="8"/>
                <c:pt idx="0">
                  <c:v>8737</c:v>
                </c:pt>
                <c:pt idx="1">
                  <c:v>8116</c:v>
                </c:pt>
                <c:pt idx="2">
                  <c:v>7387</c:v>
                </c:pt>
                <c:pt idx="3">
                  <c:v>7472</c:v>
                </c:pt>
                <c:pt idx="4">
                  <c:v>7389</c:v>
                </c:pt>
                <c:pt idx="5">
                  <c:v>8155</c:v>
                </c:pt>
                <c:pt idx="6">
                  <c:v>8411</c:v>
                </c:pt>
                <c:pt idx="7">
                  <c:v>7844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1F-4E7F-9011-07057B53A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685504"/>
        <c:axId val="141687040"/>
      </c:lineChart>
      <c:catAx>
        <c:axId val="14168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endParaRPr lang="ru-RU"/>
          </a:p>
        </c:txPr>
        <c:crossAx val="141687040"/>
        <c:crosses val="autoZero"/>
        <c:auto val="1"/>
        <c:lblAlgn val="ctr"/>
        <c:lblOffset val="100"/>
        <c:noMultiLvlLbl val="0"/>
      </c:catAx>
      <c:valAx>
        <c:axId val="141687040"/>
        <c:scaling>
          <c:orientation val="minMax"/>
          <c:min val="7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endParaRPr lang="ru-RU"/>
          </a:p>
        </c:txPr>
        <c:crossAx val="141685504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GOST Common" panose="020B0604020202020204" pitchFamily="34" charset="0"/>
        </a:defRPr>
      </a:pPr>
      <a:endParaRPr lang="ru-RU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/>
            </a:pPr>
            <a:r>
              <a:rPr lang="en-US" sz="1400" b="0"/>
              <a:t>n = 5000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>
              <a:solidFill>
                <a:srgbClr val="C00000"/>
              </a:solidFill>
            </a:ln>
          </c:spPr>
          <c:marker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cat>
            <c:numRef>
              <c:f>Графики!$B$15:$B$21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cat>
          <c:val>
            <c:numRef>
              <c:f>Графики!$C$15:$C$21</c:f>
              <c:numCache>
                <c:formatCode>General</c:formatCode>
                <c:ptCount val="7"/>
                <c:pt idx="0">
                  <c:v>21978</c:v>
                </c:pt>
                <c:pt idx="1">
                  <c:v>18990</c:v>
                </c:pt>
                <c:pt idx="2">
                  <c:v>18915</c:v>
                </c:pt>
                <c:pt idx="3">
                  <c:v>19263</c:v>
                </c:pt>
                <c:pt idx="4">
                  <c:v>19123</c:v>
                </c:pt>
                <c:pt idx="5">
                  <c:v>19536</c:v>
                </c:pt>
                <c:pt idx="6">
                  <c:v>20535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6B-42BF-B001-B92726F26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061824"/>
        <c:axId val="130781568"/>
      </c:lineChart>
      <c:catAx>
        <c:axId val="130061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781568"/>
        <c:crosses val="autoZero"/>
        <c:auto val="1"/>
        <c:lblAlgn val="ctr"/>
        <c:lblOffset val="100"/>
        <c:noMultiLvlLbl val="0"/>
      </c:catAx>
      <c:valAx>
        <c:axId val="130781568"/>
        <c:scaling>
          <c:orientation val="minMax"/>
          <c:min val="18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006182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>
          <a:latin typeface="GOST Common" panose="020B0604020202020204" pitchFamily="34" charset="0"/>
        </a:defRPr>
      </a:pPr>
      <a:endParaRPr lang="ru-RU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/>
            </a:pPr>
            <a:r>
              <a:rPr lang="en-US" sz="1400" b="0"/>
              <a:t>n = 3000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>
              <a:solidFill>
                <a:srgbClr val="FF0000"/>
              </a:solidFill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cat>
            <c:numRef>
              <c:f>Графики!$B$15:$B$21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cat>
          <c:val>
            <c:numRef>
              <c:f>Графики!$D$15:$D$21</c:f>
              <c:numCache>
                <c:formatCode>General</c:formatCode>
                <c:ptCount val="7"/>
                <c:pt idx="0">
                  <c:v>4557</c:v>
                </c:pt>
                <c:pt idx="1">
                  <c:v>3948</c:v>
                </c:pt>
                <c:pt idx="2">
                  <c:v>3448</c:v>
                </c:pt>
                <c:pt idx="3">
                  <c:v>3554</c:v>
                </c:pt>
                <c:pt idx="4">
                  <c:v>3538</c:v>
                </c:pt>
                <c:pt idx="5">
                  <c:v>3696</c:v>
                </c:pt>
                <c:pt idx="6">
                  <c:v>4272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B7-409F-BFC7-51EFCBAB1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556416"/>
        <c:axId val="142235520"/>
      </c:lineChart>
      <c:catAx>
        <c:axId val="128556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2235520"/>
        <c:crosses val="autoZero"/>
        <c:auto val="1"/>
        <c:lblAlgn val="ctr"/>
        <c:lblOffset val="100"/>
        <c:noMultiLvlLbl val="0"/>
      </c:catAx>
      <c:valAx>
        <c:axId val="142235520"/>
        <c:scaling>
          <c:orientation val="minMax"/>
          <c:min val="325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8556416"/>
        <c:crosses val="autoZero"/>
        <c:crossBetween val="between"/>
        <c:majorUnit val="250"/>
      </c:valAx>
    </c:plotArea>
    <c:plotVisOnly val="1"/>
    <c:dispBlanksAs val="gap"/>
    <c:showDLblsOverMax val="0"/>
  </c:chart>
  <c:txPr>
    <a:bodyPr/>
    <a:lstStyle/>
    <a:p>
      <a:pPr>
        <a:defRPr>
          <a:latin typeface="GOST Common" panose="020B0604020202020204" pitchFamily="34" charset="0"/>
        </a:defRPr>
      </a:pPr>
      <a:endParaRPr lang="ru-RU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5000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Графики!$C$37:$C$44</c:f>
              <c:numCache>
                <c:formatCode>General</c:formatCode>
                <c:ptCount val="8"/>
                <c:pt idx="0">
                  <c:v>1</c:v>
                </c:pt>
                <c:pt idx="1">
                  <c:v>1.8242039634825207</c:v>
                </c:pt>
                <c:pt idx="2">
                  <c:v>2.8695271453590192</c:v>
                </c:pt>
                <c:pt idx="3">
                  <c:v>3.3804415102125027</c:v>
                </c:pt>
                <c:pt idx="4">
                  <c:v>3.8790246212121211</c:v>
                </c:pt>
                <c:pt idx="5">
                  <c:v>3.8069237918215615</c:v>
                </c:pt>
                <c:pt idx="6">
                  <c:v>3.846244131455399</c:v>
                </c:pt>
                <c:pt idx="7">
                  <c:v>3.8220200606484722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53-434D-9938-58BE01086F56}"/>
            </c:ext>
          </c:extLst>
        </c:ser>
        <c:ser>
          <c:idx val="1"/>
          <c:order val="1"/>
          <c:tx>
            <c:v>Целевое значение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53-434D-9938-58BE01086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3000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Графики!$D$37:$D$44</c:f>
              <c:numCache>
                <c:formatCode>General</c:formatCode>
                <c:ptCount val="8"/>
                <c:pt idx="0">
                  <c:v>1</c:v>
                </c:pt>
                <c:pt idx="1">
                  <c:v>1.750242013552759</c:v>
                </c:pt>
                <c:pt idx="2">
                  <c:v>2.5286713286713285</c:v>
                </c:pt>
                <c:pt idx="3">
                  <c:v>2.9834983498349836</c:v>
                </c:pt>
                <c:pt idx="4">
                  <c:v>3.0386554621848738</c:v>
                </c:pt>
                <c:pt idx="5">
                  <c:v>2.8250000000000002</c:v>
                </c:pt>
                <c:pt idx="6">
                  <c:v>2.6588235294117646</c:v>
                </c:pt>
                <c:pt idx="7">
                  <c:v>2.6432748538011697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86-4284-B95C-248E82DB5EA3}"/>
            </c:ext>
          </c:extLst>
        </c:ser>
        <c:ser>
          <c:idx val="1"/>
          <c:order val="1"/>
          <c:tx>
            <c:v>Целевое значение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86-4284-B95C-248E82DB5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5000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Графики!$C$47:$C$54</c:f>
              <c:numCache>
                <c:formatCode>General</c:formatCode>
                <c:ptCount val="8"/>
                <c:pt idx="0">
                  <c:v>1</c:v>
                </c:pt>
                <c:pt idx="1">
                  <c:v>0.91210198174126034</c:v>
                </c:pt>
                <c:pt idx="2">
                  <c:v>0.7173817863397548</c:v>
                </c:pt>
                <c:pt idx="3">
                  <c:v>0.56340691836875045</c:v>
                </c:pt>
                <c:pt idx="4">
                  <c:v>0.48487807765151514</c:v>
                </c:pt>
                <c:pt idx="5">
                  <c:v>0.38069237918215615</c:v>
                </c:pt>
                <c:pt idx="6">
                  <c:v>0.3205203442879499</c:v>
                </c:pt>
                <c:pt idx="7">
                  <c:v>0.23887625379052951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59-4A72-9982-48C3352142CC}"/>
            </c:ext>
          </c:extLst>
        </c:ser>
        <c:ser>
          <c:idx val="1"/>
          <c:order val="1"/>
          <c:tx>
            <c:v>Целевое значение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Lit>
              <c:formatCode>General</c:formatCode>
              <c:ptCount val="8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159-4A72-9982-48C3352142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3000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Графики!$D$47:$D$54</c:f>
              <c:numCache>
                <c:formatCode>General</c:formatCode>
                <c:ptCount val="8"/>
                <c:pt idx="0">
                  <c:v>1</c:v>
                </c:pt>
                <c:pt idx="1">
                  <c:v>0.8751210067763795</c:v>
                </c:pt>
                <c:pt idx="2">
                  <c:v>0.63216783216783212</c:v>
                </c:pt>
                <c:pt idx="3">
                  <c:v>0.49724972497249725</c:v>
                </c:pt>
                <c:pt idx="4">
                  <c:v>0.37983193277310923</c:v>
                </c:pt>
                <c:pt idx="5">
                  <c:v>0.28250000000000003</c:v>
                </c:pt>
                <c:pt idx="6">
                  <c:v>0.22156862745098038</c:v>
                </c:pt>
                <c:pt idx="7">
                  <c:v>0.1652046783625731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49-4D16-8331-ED141334A505}"/>
            </c:ext>
          </c:extLst>
        </c:ser>
        <c:ser>
          <c:idx val="1"/>
          <c:order val="1"/>
          <c:tx>
            <c:v>Целевое значение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Lit>
              <c:formatCode>General</c:formatCode>
              <c:ptCount val="8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D49-4D16-8331-ED141334A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5000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Графики!$C$27:$C$34</c:f>
              <c:numCache>
                <c:formatCode>General</c:formatCode>
                <c:ptCount val="8"/>
                <c:pt idx="0">
                  <c:v>16385</c:v>
                </c:pt>
                <c:pt idx="1">
                  <c:v>8982</c:v>
                </c:pt>
                <c:pt idx="2">
                  <c:v>5710</c:v>
                </c:pt>
                <c:pt idx="3">
                  <c:v>4847</c:v>
                </c:pt>
                <c:pt idx="4">
                  <c:v>4224</c:v>
                </c:pt>
                <c:pt idx="5">
                  <c:v>4304</c:v>
                </c:pt>
                <c:pt idx="6">
                  <c:v>4260</c:v>
                </c:pt>
                <c:pt idx="7">
                  <c:v>4287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8F-4439-A6B7-C68E2870A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3000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Графики!$D$27:$D$34</c:f>
              <c:numCache>
                <c:formatCode>General</c:formatCode>
                <c:ptCount val="8"/>
                <c:pt idx="0">
                  <c:v>3616</c:v>
                </c:pt>
                <c:pt idx="1">
                  <c:v>2066</c:v>
                </c:pt>
                <c:pt idx="2">
                  <c:v>1430</c:v>
                </c:pt>
                <c:pt idx="3">
                  <c:v>1212</c:v>
                </c:pt>
                <c:pt idx="4">
                  <c:v>1190</c:v>
                </c:pt>
                <c:pt idx="5">
                  <c:v>1280</c:v>
                </c:pt>
                <c:pt idx="6">
                  <c:v>1360</c:v>
                </c:pt>
                <c:pt idx="7">
                  <c:v>1368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AE-4FD3-88ED-A1FDD7309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5000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Графики!$C$69:$C$76</c:f>
              <c:numCache>
                <c:formatCode>General</c:formatCode>
                <c:ptCount val="8"/>
                <c:pt idx="0">
                  <c:v>1</c:v>
                </c:pt>
                <c:pt idx="1">
                  <c:v>1.2782564622402433</c:v>
                </c:pt>
                <c:pt idx="2">
                  <c:v>1.8912635920509937</c:v>
                </c:pt>
                <c:pt idx="3">
                  <c:v>1.7209143636983963</c:v>
                </c:pt>
                <c:pt idx="4">
                  <c:v>1.8183129055515501</c:v>
                </c:pt>
                <c:pt idx="5">
                  <c:v>1.759944173063503</c:v>
                </c:pt>
                <c:pt idx="6">
                  <c:v>1.8189686260367832</c:v>
                </c:pt>
                <c:pt idx="7">
                  <c:v>1.8640059127864006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E9-423E-B5B7-A8C0CC39EA89}"/>
            </c:ext>
          </c:extLst>
        </c:ser>
        <c:ser>
          <c:idx val="1"/>
          <c:order val="1"/>
          <c:tx>
            <c:v>Целевое значение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E9-423E-B5B7-A8C0CC39E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3000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Графики!$D$69:$D$76</c:f>
              <c:numCache>
                <c:formatCode>General</c:formatCode>
                <c:ptCount val="8"/>
                <c:pt idx="0">
                  <c:v>1</c:v>
                </c:pt>
                <c:pt idx="1">
                  <c:v>1.3200468933177023</c:v>
                </c:pt>
                <c:pt idx="2">
                  <c:v>1.603988603988604</c:v>
                </c:pt>
                <c:pt idx="3">
                  <c:v>1.3533653846153846</c:v>
                </c:pt>
                <c:pt idx="4">
                  <c:v>1.3799019607843137</c:v>
                </c:pt>
                <c:pt idx="5">
                  <c:v>1.3341232227488151</c:v>
                </c:pt>
                <c:pt idx="6">
                  <c:v>1.2766439909297052</c:v>
                </c:pt>
                <c:pt idx="7">
                  <c:v>1.2360043907793634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35-4964-A7D2-6F7E4AE0C661}"/>
            </c:ext>
          </c:extLst>
        </c:ser>
        <c:ser>
          <c:idx val="1"/>
          <c:order val="1"/>
          <c:tx>
            <c:v>Целевое значение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35-4964-A7D2-6F7E4AE0C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5000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Графики!$C$79:$C$86</c:f>
              <c:numCache>
                <c:formatCode>General</c:formatCode>
                <c:ptCount val="8"/>
                <c:pt idx="0">
                  <c:v>1</c:v>
                </c:pt>
                <c:pt idx="1">
                  <c:v>0.63912823112012163</c:v>
                </c:pt>
                <c:pt idx="2">
                  <c:v>0.47281589801274843</c:v>
                </c:pt>
                <c:pt idx="3">
                  <c:v>0.28681906061639939</c:v>
                </c:pt>
                <c:pt idx="4">
                  <c:v>0.22728911319394376</c:v>
                </c:pt>
                <c:pt idx="5">
                  <c:v>0.17599441730635029</c:v>
                </c:pt>
                <c:pt idx="6">
                  <c:v>0.15158071883639859</c:v>
                </c:pt>
                <c:pt idx="7">
                  <c:v>0.11650036954915004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3E-4132-A634-67AB89E2CEEF}"/>
            </c:ext>
          </c:extLst>
        </c:ser>
        <c:ser>
          <c:idx val="1"/>
          <c:order val="1"/>
          <c:tx>
            <c:v>Целевое значение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Lit>
              <c:formatCode>General</c:formatCode>
              <c:ptCount val="8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73E-4132-A634-67AB89E2C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3000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Графики!$D$79:$D$86</c:f>
              <c:numCache>
                <c:formatCode>General</c:formatCode>
                <c:ptCount val="8"/>
                <c:pt idx="0">
                  <c:v>1</c:v>
                </c:pt>
                <c:pt idx="1">
                  <c:v>0.66002344665885115</c:v>
                </c:pt>
                <c:pt idx="2">
                  <c:v>0.400997150997151</c:v>
                </c:pt>
                <c:pt idx="3">
                  <c:v>0.22556089743589744</c:v>
                </c:pt>
                <c:pt idx="4">
                  <c:v>0.17248774509803921</c:v>
                </c:pt>
                <c:pt idx="5">
                  <c:v>0.13341232227488151</c:v>
                </c:pt>
                <c:pt idx="6">
                  <c:v>0.10638699924414209</c:v>
                </c:pt>
                <c:pt idx="7">
                  <c:v>7.7250274423710213E-2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22-454A-8D64-9A4BEBB5D3D5}"/>
            </c:ext>
          </c:extLst>
        </c:ser>
        <c:ser>
          <c:idx val="1"/>
          <c:order val="1"/>
          <c:tx>
            <c:v>Целевое значение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Lit>
              <c:formatCode>General</c:formatCode>
              <c:ptCount val="8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C22-454A-8D64-9A4BEBB5D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5000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Графики!$C$59:$C$66</c:f>
              <c:numCache>
                <c:formatCode>General</c:formatCode>
                <c:ptCount val="8"/>
                <c:pt idx="0">
                  <c:v>5044</c:v>
                </c:pt>
                <c:pt idx="1">
                  <c:v>3946</c:v>
                </c:pt>
                <c:pt idx="2">
                  <c:v>2667</c:v>
                </c:pt>
                <c:pt idx="3">
                  <c:v>2931</c:v>
                </c:pt>
                <c:pt idx="4">
                  <c:v>2774</c:v>
                </c:pt>
                <c:pt idx="5">
                  <c:v>2866</c:v>
                </c:pt>
                <c:pt idx="6">
                  <c:v>2773</c:v>
                </c:pt>
                <c:pt idx="7">
                  <c:v>2706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46-4C0C-AC24-59974B082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3000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Графики!$D$59:$D$66</c:f>
              <c:numCache>
                <c:formatCode>General</c:formatCode>
                <c:ptCount val="8"/>
                <c:pt idx="0">
                  <c:v>1126</c:v>
                </c:pt>
                <c:pt idx="1">
                  <c:v>853</c:v>
                </c:pt>
                <c:pt idx="2">
                  <c:v>702</c:v>
                </c:pt>
                <c:pt idx="3">
                  <c:v>832</c:v>
                </c:pt>
                <c:pt idx="4">
                  <c:v>816</c:v>
                </c:pt>
                <c:pt idx="5">
                  <c:v>844</c:v>
                </c:pt>
                <c:pt idx="6">
                  <c:v>882</c:v>
                </c:pt>
                <c:pt idx="7">
                  <c:v>911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5D-4E22-8B0F-D59A0FAB8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5000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Графики!$D$101:$D$108</c:f>
              <c:numCache>
                <c:formatCode>General</c:formatCode>
                <c:ptCount val="8"/>
                <c:pt idx="0">
                  <c:v>1</c:v>
                </c:pt>
                <c:pt idx="1">
                  <c:v>1.8455600000000001</c:v>
                </c:pt>
                <c:pt idx="2">
                  <c:v>3.6100300000000001</c:v>
                </c:pt>
                <c:pt idx="3">
                  <c:v>4.0334500000000002</c:v>
                </c:pt>
                <c:pt idx="4">
                  <c:v>4.4489700000000001</c:v>
                </c:pt>
                <c:pt idx="5">
                  <c:v>4.6193999999999997</c:v>
                </c:pt>
                <c:pt idx="6">
                  <c:v>4.7108100000000004</c:v>
                </c:pt>
                <c:pt idx="7">
                  <c:v>4.8997400000000004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06-4B5C-93B6-D5491C74B5CA}"/>
            </c:ext>
          </c:extLst>
        </c:ser>
        <c:ser>
          <c:idx val="1"/>
          <c:order val="1"/>
          <c:tx>
            <c:v>Целевое значение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06-4B5C-93B6-D5491C74B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5000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Графики!$D$111:$D$118</c:f>
              <c:numCache>
                <c:formatCode>General</c:formatCode>
                <c:ptCount val="8"/>
                <c:pt idx="0">
                  <c:v>1</c:v>
                </c:pt>
                <c:pt idx="1">
                  <c:v>0.92278000000000004</c:v>
                </c:pt>
                <c:pt idx="2">
                  <c:v>0.90251000000000003</c:v>
                </c:pt>
                <c:pt idx="3">
                  <c:v>0.67223999999999995</c:v>
                </c:pt>
                <c:pt idx="4">
                  <c:v>0.55611999999999995</c:v>
                </c:pt>
                <c:pt idx="5">
                  <c:v>0.46194000000000002</c:v>
                </c:pt>
                <c:pt idx="6">
                  <c:v>0.39256999999999997</c:v>
                </c:pt>
                <c:pt idx="7">
                  <c:v>0.30623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52-4DFE-A5EA-2ECBD6FC7124}"/>
            </c:ext>
          </c:extLst>
        </c:ser>
        <c:ser>
          <c:idx val="1"/>
          <c:order val="1"/>
          <c:tx>
            <c:v>Целевое значение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Lit>
              <c:formatCode>General</c:formatCode>
              <c:ptCount val="8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352-4DFE-A5EA-2ECBD6FC7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5000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Графики!$D$91:$D$98</c:f>
              <c:numCache>
                <c:formatCode>General</c:formatCode>
                <c:ptCount val="8"/>
                <c:pt idx="0">
                  <c:v>9285</c:v>
                </c:pt>
                <c:pt idx="1">
                  <c:v>5031</c:v>
                </c:pt>
                <c:pt idx="2">
                  <c:v>2572</c:v>
                </c:pt>
                <c:pt idx="3">
                  <c:v>2302</c:v>
                </c:pt>
                <c:pt idx="4">
                  <c:v>2087</c:v>
                </c:pt>
                <c:pt idx="5">
                  <c:v>2010</c:v>
                </c:pt>
                <c:pt idx="6">
                  <c:v>1971</c:v>
                </c:pt>
                <c:pt idx="7">
                  <c:v>1895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3E-4314-AD02-252D67F91C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3000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Графики!$C$101:$C$108</c:f>
              <c:numCache>
                <c:formatCode>General</c:formatCode>
                <c:ptCount val="8"/>
                <c:pt idx="0">
                  <c:v>1</c:v>
                </c:pt>
                <c:pt idx="1">
                  <c:v>1.6997599999999999</c:v>
                </c:pt>
                <c:pt idx="2">
                  <c:v>2.4432700000000001</c:v>
                </c:pt>
                <c:pt idx="3">
                  <c:v>3.2138499999999999</c:v>
                </c:pt>
                <c:pt idx="4">
                  <c:v>3.3317399999999999</c:v>
                </c:pt>
                <c:pt idx="5">
                  <c:v>3.3857400000000002</c:v>
                </c:pt>
                <c:pt idx="6">
                  <c:v>3.4933100000000001</c:v>
                </c:pt>
                <c:pt idx="7">
                  <c:v>3.4933100000000001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59-4BE5-9201-35682D4FE687}"/>
            </c:ext>
          </c:extLst>
        </c:ser>
        <c:ser>
          <c:idx val="1"/>
          <c:order val="1"/>
          <c:tx>
            <c:v>Целевое значение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59-4BE5-9201-35682D4FE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3000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Графики!$C$111:$C$118</c:f>
              <c:numCache>
                <c:formatCode>General</c:formatCode>
                <c:ptCount val="8"/>
                <c:pt idx="0">
                  <c:v>1</c:v>
                </c:pt>
                <c:pt idx="1">
                  <c:v>0.84987999999999997</c:v>
                </c:pt>
                <c:pt idx="2">
                  <c:v>0.61082000000000003</c:v>
                </c:pt>
                <c:pt idx="3">
                  <c:v>0.53564000000000001</c:v>
                </c:pt>
                <c:pt idx="4">
                  <c:v>0.41647000000000001</c:v>
                </c:pt>
                <c:pt idx="5">
                  <c:v>0.33856999999999998</c:v>
                </c:pt>
                <c:pt idx="6">
                  <c:v>0.29110999999999998</c:v>
                </c:pt>
                <c:pt idx="7">
                  <c:v>0.21833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AF-4DE3-BF94-971BEB617678}"/>
            </c:ext>
          </c:extLst>
        </c:ser>
        <c:ser>
          <c:idx val="1"/>
          <c:order val="1"/>
          <c:tx>
            <c:v>Целевое значение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Lit>
              <c:formatCode>General</c:formatCode>
              <c:ptCount val="8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C5AF-4DE3-BF94-971BEB617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3000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Графики!$C$91:$C$98</c:f>
              <c:numCache>
                <c:formatCode>General</c:formatCode>
                <c:ptCount val="8"/>
                <c:pt idx="0">
                  <c:v>2089</c:v>
                </c:pt>
                <c:pt idx="1">
                  <c:v>1229</c:v>
                </c:pt>
                <c:pt idx="2">
                  <c:v>855</c:v>
                </c:pt>
                <c:pt idx="3">
                  <c:v>650</c:v>
                </c:pt>
                <c:pt idx="4">
                  <c:v>627</c:v>
                </c:pt>
                <c:pt idx="5">
                  <c:v>617</c:v>
                </c:pt>
                <c:pt idx="6">
                  <c:v>598</c:v>
                </c:pt>
                <c:pt idx="7">
                  <c:v>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FB-404B-9812-BB5373166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10000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Графики!$E$101:$E$108</c:f>
              <c:numCache>
                <c:formatCode>General</c:formatCode>
                <c:ptCount val="8"/>
                <c:pt idx="0">
                  <c:v>1</c:v>
                </c:pt>
                <c:pt idx="1">
                  <c:v>1.9168099999999999</c:v>
                </c:pt>
                <c:pt idx="2">
                  <c:v>3.0709599999999999</c:v>
                </c:pt>
                <c:pt idx="3">
                  <c:v>4.2553900000000002</c:v>
                </c:pt>
                <c:pt idx="4">
                  <c:v>4.70085</c:v>
                </c:pt>
                <c:pt idx="5">
                  <c:v>5.0873499999999998</c:v>
                </c:pt>
                <c:pt idx="6">
                  <c:v>5.3701999999999996</c:v>
                </c:pt>
                <c:pt idx="7">
                  <c:v>5.5549099999999996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FE-432F-BE38-48A8E94C4734}"/>
            </c:ext>
          </c:extLst>
        </c:ser>
        <c:ser>
          <c:idx val="1"/>
          <c:order val="1"/>
          <c:tx>
            <c:v>Целевое значение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FE-432F-BE38-48A8E94C4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</a:t>
            </a:r>
            <a:r>
              <a:rPr lang="ru-RU" baseline="0">
                <a:latin typeface="GOST Common" panose="020B0604020202020204" pitchFamily="34" charset="0"/>
              </a:rPr>
              <a:t>10</a:t>
            </a:r>
            <a:r>
              <a:rPr lang="en-US" baseline="0">
                <a:latin typeface="GOST Common" panose="020B0604020202020204" pitchFamily="34" charset="0"/>
              </a:rPr>
              <a:t>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Графики!$E$111:$E$118</c:f>
              <c:numCache>
                <c:formatCode>General</c:formatCode>
                <c:ptCount val="8"/>
                <c:pt idx="0">
                  <c:v>1</c:v>
                </c:pt>
                <c:pt idx="1">
                  <c:v>0.95840999999999998</c:v>
                </c:pt>
                <c:pt idx="2">
                  <c:v>0.76773999999999998</c:v>
                </c:pt>
                <c:pt idx="3">
                  <c:v>0.70923000000000003</c:v>
                </c:pt>
                <c:pt idx="4">
                  <c:v>0.58760999999999997</c:v>
                </c:pt>
                <c:pt idx="5">
                  <c:v>0.50873999999999997</c:v>
                </c:pt>
                <c:pt idx="6">
                  <c:v>0.44751999999999997</c:v>
                </c:pt>
                <c:pt idx="7">
                  <c:v>0.34717999999999999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D5-4150-9D5E-31B0269F8242}"/>
            </c:ext>
          </c:extLst>
        </c:ser>
        <c:ser>
          <c:idx val="1"/>
          <c:order val="1"/>
          <c:tx>
            <c:v>Целевое значение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Lit>
              <c:formatCode>General</c:formatCode>
              <c:ptCount val="8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61D5-4150-9D5E-31B0269F8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10000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Графики!$E$91:$E$98</c:f>
              <c:numCache>
                <c:formatCode>General</c:formatCode>
                <c:ptCount val="8"/>
                <c:pt idx="0">
                  <c:v>70414</c:v>
                </c:pt>
                <c:pt idx="1">
                  <c:v>36735</c:v>
                </c:pt>
                <c:pt idx="2">
                  <c:v>22929</c:v>
                </c:pt>
                <c:pt idx="3">
                  <c:v>16547</c:v>
                </c:pt>
                <c:pt idx="4">
                  <c:v>14979</c:v>
                </c:pt>
                <c:pt idx="5">
                  <c:v>13841</c:v>
                </c:pt>
                <c:pt idx="6">
                  <c:v>13112</c:v>
                </c:pt>
                <c:pt idx="7">
                  <c:v>12676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92-42E7-AA24-E1542B2AA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</a:t>
            </a:r>
            <a:r>
              <a:rPr lang="ru-RU" baseline="0">
                <a:latin typeface="GOST Common" panose="020B0604020202020204" pitchFamily="34" charset="0"/>
              </a:rPr>
              <a:t>5</a:t>
            </a:r>
            <a:r>
              <a:rPr lang="en-US" baseline="0">
                <a:latin typeface="GOST Common" panose="020B0604020202020204" pitchFamily="34" charset="0"/>
              </a:rPr>
              <a:t>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Целевое значение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Графики!$B$136:$B$147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40</c:v>
                </c:pt>
              </c:numCache>
            </c:numRef>
          </c:xVal>
          <c:yVal>
            <c:numRef>
              <c:f>Графики!$B$136:$B$146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57-493F-A449-73115457C681}"/>
            </c:ext>
          </c:extLst>
        </c:ser>
        <c:ser>
          <c:idx val="0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Графики!$B$136:$B$146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Графики!$C$136:$C$146</c:f>
              <c:numCache>
                <c:formatCode>General</c:formatCode>
                <c:ptCount val="11"/>
                <c:pt idx="0">
                  <c:v>1</c:v>
                </c:pt>
                <c:pt idx="1">
                  <c:v>1.7688250272826482</c:v>
                </c:pt>
                <c:pt idx="2">
                  <c:v>3.1615734720416127</c:v>
                </c:pt>
                <c:pt idx="3">
                  <c:v>4.1524338172502135</c:v>
                </c:pt>
                <c:pt idx="4">
                  <c:v>5.1728723404255321</c:v>
                </c:pt>
                <c:pt idx="5">
                  <c:v>5.8939393939393936</c:v>
                </c:pt>
                <c:pt idx="6">
                  <c:v>6.7770034843205575</c:v>
                </c:pt>
                <c:pt idx="7">
                  <c:v>7.3786039453717756</c:v>
                </c:pt>
                <c:pt idx="8">
                  <c:v>7.9517579721995091</c:v>
                </c:pt>
                <c:pt idx="9">
                  <c:v>8.2695578231292526</c:v>
                </c:pt>
                <c:pt idx="10">
                  <c:v>9.1143392689784442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57-493F-A449-73115457C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  <c:majorUnit val="2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  <c:maj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</a:t>
            </a:r>
            <a:r>
              <a:rPr lang="ru-RU" baseline="0">
                <a:latin typeface="GOST Common" panose="020B0604020202020204" pitchFamily="34" charset="0"/>
              </a:rPr>
              <a:t>5</a:t>
            </a:r>
            <a:r>
              <a:rPr lang="en-US" baseline="0">
                <a:latin typeface="GOST Common" panose="020B0604020202020204" pitchFamily="34" charset="0"/>
              </a:rPr>
              <a:t>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Целевое значение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Графики!$B$150:$B$160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Lit>
              <c:formatCode>General</c:formatCode>
              <c:ptCount val="11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0B96-43F7-986F-ADA288A8DECA}"/>
            </c:ext>
          </c:extLst>
        </c:ser>
        <c:ser>
          <c:idx val="0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Графики!$B$150:$B$160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Графики!$C$150:$C$160</c:f>
              <c:numCache>
                <c:formatCode>General</c:formatCode>
                <c:ptCount val="11"/>
                <c:pt idx="0">
                  <c:v>1</c:v>
                </c:pt>
                <c:pt idx="1">
                  <c:v>0.88441251364132412</c:v>
                </c:pt>
                <c:pt idx="2">
                  <c:v>0.79039336801040316</c:v>
                </c:pt>
                <c:pt idx="3">
                  <c:v>0.69207230287503563</c:v>
                </c:pt>
                <c:pt idx="4">
                  <c:v>0.64660904255319152</c:v>
                </c:pt>
                <c:pt idx="5">
                  <c:v>0.58939393939393936</c:v>
                </c:pt>
                <c:pt idx="6">
                  <c:v>0.56475029036004643</c:v>
                </c:pt>
                <c:pt idx="7">
                  <c:v>0.52704313895512678</c:v>
                </c:pt>
                <c:pt idx="8">
                  <c:v>0.49698487326246932</c:v>
                </c:pt>
                <c:pt idx="9">
                  <c:v>0.45941987906273624</c:v>
                </c:pt>
                <c:pt idx="10">
                  <c:v>0.45571696344892221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96-43F7-986F-ADA288A8D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  <c:majorUnit val="2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</a:t>
            </a:r>
            <a:r>
              <a:rPr lang="ru-RU" baseline="0">
                <a:latin typeface="GOST Common" panose="020B0604020202020204" pitchFamily="34" charset="0"/>
              </a:rPr>
              <a:t>5</a:t>
            </a:r>
            <a:r>
              <a:rPr lang="en-US" baseline="0">
                <a:latin typeface="GOST Common" panose="020B0604020202020204" pitchFamily="34" charset="0"/>
              </a:rPr>
              <a:t>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Графики!$B$122:$B$132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Графики!$C$122:$C$132</c:f>
              <c:numCache>
                <c:formatCode>General</c:formatCode>
                <c:ptCount val="11"/>
                <c:pt idx="0">
                  <c:v>9725</c:v>
                </c:pt>
                <c:pt idx="1">
                  <c:v>5498</c:v>
                </c:pt>
                <c:pt idx="2">
                  <c:v>3076</c:v>
                </c:pt>
                <c:pt idx="3">
                  <c:v>2342</c:v>
                </c:pt>
                <c:pt idx="4">
                  <c:v>1880</c:v>
                </c:pt>
                <c:pt idx="5">
                  <c:v>1650</c:v>
                </c:pt>
                <c:pt idx="6">
                  <c:v>1435</c:v>
                </c:pt>
                <c:pt idx="7">
                  <c:v>1318</c:v>
                </c:pt>
                <c:pt idx="8">
                  <c:v>1223</c:v>
                </c:pt>
                <c:pt idx="9">
                  <c:v>1176</c:v>
                </c:pt>
                <c:pt idx="10">
                  <c:v>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7E-4817-9C47-33391629F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  <c:majorUnit val="2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</a:t>
            </a:r>
            <a:r>
              <a:rPr lang="ru-RU" baseline="0">
                <a:latin typeface="GOST Common" panose="020B0604020202020204" pitchFamily="34" charset="0"/>
              </a:rPr>
              <a:t>10</a:t>
            </a:r>
            <a:r>
              <a:rPr lang="en-US" baseline="0">
                <a:latin typeface="GOST Common" panose="020B0604020202020204" pitchFamily="34" charset="0"/>
              </a:rPr>
              <a:t>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Графики!$B$122:$B$132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Графики!$D$122:$D$132</c:f>
              <c:numCache>
                <c:formatCode>General</c:formatCode>
                <c:ptCount val="11"/>
                <c:pt idx="0">
                  <c:v>76160</c:v>
                </c:pt>
                <c:pt idx="1">
                  <c:v>39071</c:v>
                </c:pt>
                <c:pt idx="2">
                  <c:v>20102</c:v>
                </c:pt>
                <c:pt idx="3">
                  <c:v>14063</c:v>
                </c:pt>
                <c:pt idx="4">
                  <c:v>11690</c:v>
                </c:pt>
                <c:pt idx="5">
                  <c:v>10161</c:v>
                </c:pt>
                <c:pt idx="6">
                  <c:v>8034</c:v>
                </c:pt>
                <c:pt idx="7">
                  <c:v>7301</c:v>
                </c:pt>
                <c:pt idx="8">
                  <c:v>6821</c:v>
                </c:pt>
                <c:pt idx="9">
                  <c:v>6201</c:v>
                </c:pt>
                <c:pt idx="10">
                  <c:v>6056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EF-4894-805C-216D9CE51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  <c:majorUnit val="2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</a:t>
            </a:r>
            <a:r>
              <a:rPr lang="ru-RU" baseline="0">
                <a:latin typeface="GOST Common" panose="020B0604020202020204" pitchFamily="34" charset="0"/>
              </a:rPr>
              <a:t>15</a:t>
            </a:r>
            <a:r>
              <a:rPr lang="en-US" baseline="0">
                <a:latin typeface="GOST Common" panose="020B0604020202020204" pitchFamily="34" charset="0"/>
              </a:rPr>
              <a:t>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Графики!$B$122:$B$132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Графики!$E$122:$E$132</c:f>
              <c:numCache>
                <c:formatCode>General</c:formatCode>
                <c:ptCount val="11"/>
                <c:pt idx="7">
                  <c:v>23660</c:v>
                </c:pt>
                <c:pt idx="8">
                  <c:v>21062</c:v>
                </c:pt>
                <c:pt idx="9">
                  <c:v>20637</c:v>
                </c:pt>
                <c:pt idx="10">
                  <c:v>18311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DE-46B5-99D0-81F81045F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  <c:majorUnit val="2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</a:t>
            </a:r>
            <a:r>
              <a:rPr lang="ru-RU" baseline="0">
                <a:latin typeface="GOST Common" panose="020B0604020202020204" pitchFamily="34" charset="0"/>
              </a:rPr>
              <a:t>15</a:t>
            </a:r>
            <a:r>
              <a:rPr lang="en-US" baseline="0">
                <a:latin typeface="GOST Common" panose="020B0604020202020204" pitchFamily="34" charset="0"/>
              </a:rPr>
              <a:t>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Целевое значение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Графики!$B$136:$B$146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Графики!$B$136:$B$146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1F-4C7F-AC86-ECAA526DC8D6}"/>
            </c:ext>
          </c:extLst>
        </c:ser>
        <c:ser>
          <c:idx val="0"/>
          <c:order val="1"/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Графики!$B$136:$B$146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Графики!$E$136:$E$146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1F-4C7F-AC86-ECAA526DC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  <c:majorUnit val="2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  <c:maj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</a:t>
            </a:r>
            <a:r>
              <a:rPr lang="ru-RU" baseline="0">
                <a:latin typeface="GOST Common" panose="020B0604020202020204" pitchFamily="34" charset="0"/>
              </a:rPr>
              <a:t>10</a:t>
            </a:r>
            <a:r>
              <a:rPr lang="en-US" baseline="0">
                <a:latin typeface="GOST Common" panose="020B0604020202020204" pitchFamily="34" charset="0"/>
              </a:rPr>
              <a:t>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Целевое значение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Графики!$B$136:$B$146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Графики!$B$136:$B$146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71-4E0C-9281-B9205E5691E5}"/>
            </c:ext>
          </c:extLst>
        </c:ser>
        <c:ser>
          <c:idx val="0"/>
          <c:order val="1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Графики!$B$136:$B$146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Графики!$D$136:$D$147</c:f>
              <c:numCache>
                <c:formatCode>General</c:formatCode>
                <c:ptCount val="12"/>
                <c:pt idx="0">
                  <c:v>1</c:v>
                </c:pt>
                <c:pt idx="1">
                  <c:v>1.9492718384479537</c:v>
                </c:pt>
                <c:pt idx="2">
                  <c:v>3.7886777435081087</c:v>
                </c:pt>
                <c:pt idx="3">
                  <c:v>5.4156296665007471</c:v>
                </c:pt>
                <c:pt idx="4">
                  <c:v>6.5149700598802394</c:v>
                </c:pt>
                <c:pt idx="5">
                  <c:v>7.4953252632614902</c:v>
                </c:pt>
                <c:pt idx="6">
                  <c:v>9.4797112272840423</c:v>
                </c:pt>
                <c:pt idx="7">
                  <c:v>10.431447746883988</c:v>
                </c:pt>
                <c:pt idx="8">
                  <c:v>11.165518252455652</c:v>
                </c:pt>
                <c:pt idx="9">
                  <c:v>12.281890017739075</c:v>
                </c:pt>
                <c:pt idx="10">
                  <c:v>12.575957727873183</c:v>
                </c:pt>
                <c:pt idx="11">
                  <c:v>11.124744376278118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71-4E0C-9281-B9205E569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  <c:majorUnit val="2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  <c:maj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</a:t>
            </a:r>
            <a:r>
              <a:rPr lang="ru-RU" baseline="0">
                <a:latin typeface="GOST Common" panose="020B0604020202020204" pitchFamily="34" charset="0"/>
              </a:rPr>
              <a:t>15</a:t>
            </a:r>
            <a:r>
              <a:rPr lang="en-US" baseline="0">
                <a:latin typeface="GOST Common" panose="020B0604020202020204" pitchFamily="34" charset="0"/>
              </a:rPr>
              <a:t>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Целевое значение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Графики!$B$150:$B$160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Lit>
              <c:formatCode>General</c:formatCode>
              <c:ptCount val="11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5E37-4B39-9139-AFEE8B2EE215}"/>
            </c:ext>
          </c:extLst>
        </c:ser>
        <c:ser>
          <c:idx val="0"/>
          <c:order val="1"/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Графики!$B$150:$B$160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Графики!$E$150:$E$160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37-4B39-9139-AFEE8B2EE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  <c:majorUnit val="2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</a:t>
            </a:r>
            <a:r>
              <a:rPr lang="ru-RU" baseline="0">
                <a:latin typeface="GOST Common" panose="020B0604020202020204" pitchFamily="34" charset="0"/>
              </a:rPr>
              <a:t>10</a:t>
            </a:r>
            <a:r>
              <a:rPr lang="en-US" baseline="0">
                <a:latin typeface="GOST Common" panose="020B0604020202020204" pitchFamily="34" charset="0"/>
              </a:rPr>
              <a:t>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Целевое значение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Графики!$B$150:$B$161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40</c:v>
                </c:pt>
              </c:numCache>
            </c:numRef>
          </c:xVal>
          <c:yVal>
            <c:numLit>
              <c:formatCode>General</c:formatCode>
              <c:ptCount val="11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578B-4D7D-B648-11824E830792}"/>
            </c:ext>
          </c:extLst>
        </c:ser>
        <c:ser>
          <c:idx val="0"/>
          <c:order val="1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Графики!$B$150:$B$160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Графики!$D$150:$D$160</c:f>
              <c:numCache>
                <c:formatCode>General</c:formatCode>
                <c:ptCount val="11"/>
                <c:pt idx="0">
                  <c:v>1</c:v>
                </c:pt>
                <c:pt idx="1">
                  <c:v>0.97463591922397685</c:v>
                </c:pt>
                <c:pt idx="2">
                  <c:v>0.94716943587702718</c:v>
                </c:pt>
                <c:pt idx="3">
                  <c:v>0.90260494441679118</c:v>
                </c:pt>
                <c:pt idx="4">
                  <c:v>0.81437125748502992</c:v>
                </c:pt>
                <c:pt idx="5">
                  <c:v>0.74953252632614897</c:v>
                </c:pt>
                <c:pt idx="6">
                  <c:v>0.78997593560700352</c:v>
                </c:pt>
                <c:pt idx="7">
                  <c:v>0.74510341049171347</c:v>
                </c:pt>
                <c:pt idx="8">
                  <c:v>0.69784489077847822</c:v>
                </c:pt>
                <c:pt idx="9">
                  <c:v>0.68232722320772643</c:v>
                </c:pt>
                <c:pt idx="10">
                  <c:v>0.62879788639365919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8B-4D7D-B648-11824E830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  <c:majorUnit val="2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8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9054</xdr:colOff>
      <xdr:row>12</xdr:row>
      <xdr:rowOff>113168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12317" y="282920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9054</xdr:colOff>
      <xdr:row>25</xdr:row>
      <xdr:rowOff>113168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596674" y="282920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9054</xdr:colOff>
      <xdr:row>38</xdr:row>
      <xdr:rowOff>113168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9596674" y="577158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9054</xdr:colOff>
      <xdr:row>51</xdr:row>
      <xdr:rowOff>113168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9E00BDC-B281-41DE-A145-891E1532423F}"/>
            </a:ext>
          </a:extLst>
        </xdr:cNvPr>
        <xdr:cNvSpPr txBox="1"/>
      </xdr:nvSpPr>
      <xdr:spPr>
        <a:xfrm>
          <a:off x="9252642" y="87139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9054</xdr:colOff>
      <xdr:row>64</xdr:row>
      <xdr:rowOff>113168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A00C128-7FAD-48F4-B268-E5694CE2EB2F}"/>
            </a:ext>
          </a:extLst>
        </xdr:cNvPr>
        <xdr:cNvSpPr txBox="1"/>
      </xdr:nvSpPr>
      <xdr:spPr>
        <a:xfrm>
          <a:off x="9252642" y="116563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9054</xdr:colOff>
      <xdr:row>78</xdr:row>
      <xdr:rowOff>113168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CE925C5-B986-4987-96A3-64D9362BA34A}"/>
            </a:ext>
          </a:extLst>
        </xdr:cNvPr>
        <xdr:cNvSpPr txBox="1"/>
      </xdr:nvSpPr>
      <xdr:spPr>
        <a:xfrm>
          <a:off x="9252642" y="1459871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8</xdr:col>
      <xdr:colOff>887240</xdr:colOff>
      <xdr:row>10</xdr:row>
      <xdr:rowOff>253497</xdr:rowOff>
    </xdr:to>
    <xdr:graphicFrame macro="">
      <xdr:nvGraphicFramePr>
        <xdr:cNvPr id="21" name="Диаграмма 20">
          <a:extLst>
            <a:ext uri="{FF2B5EF4-FFF2-40B4-BE49-F238E27FC236}">
              <a16:creationId xmlns:a16="http://schemas.microsoft.com/office/drawing/2014/main" id="{46EFB198-613C-41EB-92C2-302FD70196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13</xdr:col>
      <xdr:colOff>887239</xdr:colOff>
      <xdr:row>10</xdr:row>
      <xdr:rowOff>244519</xdr:rowOff>
    </xdr:to>
    <xdr:graphicFrame macro="">
      <xdr:nvGraphicFramePr>
        <xdr:cNvPr id="22" name="Диаграмма 21">
          <a:extLst>
            <a:ext uri="{FF2B5EF4-FFF2-40B4-BE49-F238E27FC236}">
              <a16:creationId xmlns:a16="http://schemas.microsoft.com/office/drawing/2014/main" id="{9B0B393B-00E7-4859-B5CE-3D4C90F4A0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12</xdr:row>
      <xdr:rowOff>0</xdr:rowOff>
    </xdr:from>
    <xdr:to>
      <xdr:col>8</xdr:col>
      <xdr:colOff>887240</xdr:colOff>
      <xdr:row>20</xdr:row>
      <xdr:rowOff>262550</xdr:rowOff>
    </xdr:to>
    <xdr:graphicFrame macro="">
      <xdr:nvGraphicFramePr>
        <xdr:cNvPr id="23" name="Диаграмма 22">
          <a:extLst>
            <a:ext uri="{FF2B5EF4-FFF2-40B4-BE49-F238E27FC236}">
              <a16:creationId xmlns:a16="http://schemas.microsoft.com/office/drawing/2014/main" id="{EC7763B0-D6A2-40FC-AABC-A0C2C7C862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12</xdr:row>
      <xdr:rowOff>0</xdr:rowOff>
    </xdr:from>
    <xdr:to>
      <xdr:col>13</xdr:col>
      <xdr:colOff>896347</xdr:colOff>
      <xdr:row>20</xdr:row>
      <xdr:rowOff>253225</xdr:rowOff>
    </xdr:to>
    <xdr:graphicFrame macro="">
      <xdr:nvGraphicFramePr>
        <xdr:cNvPr id="24" name="Диаграмма 23">
          <a:extLst>
            <a:ext uri="{FF2B5EF4-FFF2-40B4-BE49-F238E27FC236}">
              <a16:creationId xmlns:a16="http://schemas.microsoft.com/office/drawing/2014/main" id="{C2B63319-8D26-419E-BF23-B2F93296BA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34</xdr:row>
      <xdr:rowOff>0</xdr:rowOff>
    </xdr:from>
    <xdr:to>
      <xdr:col>8</xdr:col>
      <xdr:colOff>878187</xdr:colOff>
      <xdr:row>43</xdr:row>
      <xdr:rowOff>270543</xdr:rowOff>
    </xdr:to>
    <xdr:graphicFrame macro="">
      <xdr:nvGraphicFramePr>
        <xdr:cNvPr id="39" name="Диаграмма 38">
          <a:extLst>
            <a:ext uri="{FF2B5EF4-FFF2-40B4-BE49-F238E27FC236}">
              <a16:creationId xmlns:a16="http://schemas.microsoft.com/office/drawing/2014/main" id="{CEEFFAA9-CDD4-49DE-87E8-B65F14245D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34</xdr:row>
      <xdr:rowOff>0</xdr:rowOff>
    </xdr:from>
    <xdr:to>
      <xdr:col>13</xdr:col>
      <xdr:colOff>878187</xdr:colOff>
      <xdr:row>43</xdr:row>
      <xdr:rowOff>270543</xdr:rowOff>
    </xdr:to>
    <xdr:graphicFrame macro="">
      <xdr:nvGraphicFramePr>
        <xdr:cNvPr id="40" name="Диаграмма 39">
          <a:extLst>
            <a:ext uri="{FF2B5EF4-FFF2-40B4-BE49-F238E27FC236}">
              <a16:creationId xmlns:a16="http://schemas.microsoft.com/office/drawing/2014/main" id="{FA9EC366-D93E-4462-AF26-C52CF10512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0</xdr:colOff>
      <xdr:row>44</xdr:row>
      <xdr:rowOff>0</xdr:rowOff>
    </xdr:from>
    <xdr:to>
      <xdr:col>8</xdr:col>
      <xdr:colOff>878187</xdr:colOff>
      <xdr:row>53</xdr:row>
      <xdr:rowOff>270541</xdr:rowOff>
    </xdr:to>
    <xdr:graphicFrame macro="">
      <xdr:nvGraphicFramePr>
        <xdr:cNvPr id="41" name="Диаграмма 40">
          <a:extLst>
            <a:ext uri="{FF2B5EF4-FFF2-40B4-BE49-F238E27FC236}">
              <a16:creationId xmlns:a16="http://schemas.microsoft.com/office/drawing/2014/main" id="{2EA5D905-7AD3-4F4F-979D-1A27845281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0</xdr:colOff>
      <xdr:row>44</xdr:row>
      <xdr:rowOff>0</xdr:rowOff>
    </xdr:from>
    <xdr:to>
      <xdr:col>13</xdr:col>
      <xdr:colOff>878187</xdr:colOff>
      <xdr:row>53</xdr:row>
      <xdr:rowOff>270541</xdr:rowOff>
    </xdr:to>
    <xdr:graphicFrame macro="">
      <xdr:nvGraphicFramePr>
        <xdr:cNvPr id="42" name="Диаграмма 41">
          <a:extLst>
            <a:ext uri="{FF2B5EF4-FFF2-40B4-BE49-F238E27FC236}">
              <a16:creationId xmlns:a16="http://schemas.microsoft.com/office/drawing/2014/main" id="{D4E4D168-B8E9-464B-BD8D-A9C0BF1589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0</xdr:colOff>
      <xdr:row>24</xdr:row>
      <xdr:rowOff>0</xdr:rowOff>
    </xdr:from>
    <xdr:to>
      <xdr:col>8</xdr:col>
      <xdr:colOff>878187</xdr:colOff>
      <xdr:row>33</xdr:row>
      <xdr:rowOff>270542</xdr:rowOff>
    </xdr:to>
    <xdr:graphicFrame macro="">
      <xdr:nvGraphicFramePr>
        <xdr:cNvPr id="43" name="Диаграмма 42">
          <a:extLst>
            <a:ext uri="{FF2B5EF4-FFF2-40B4-BE49-F238E27FC236}">
              <a16:creationId xmlns:a16="http://schemas.microsoft.com/office/drawing/2014/main" id="{DBF94A7E-EFA8-49BE-AC2F-14757EF9C4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0</xdr:colOff>
      <xdr:row>24</xdr:row>
      <xdr:rowOff>0</xdr:rowOff>
    </xdr:from>
    <xdr:to>
      <xdr:col>13</xdr:col>
      <xdr:colOff>878187</xdr:colOff>
      <xdr:row>33</xdr:row>
      <xdr:rowOff>270542</xdr:rowOff>
    </xdr:to>
    <xdr:graphicFrame macro="">
      <xdr:nvGraphicFramePr>
        <xdr:cNvPr id="45" name="Диаграмма 44">
          <a:extLst>
            <a:ext uri="{FF2B5EF4-FFF2-40B4-BE49-F238E27FC236}">
              <a16:creationId xmlns:a16="http://schemas.microsoft.com/office/drawing/2014/main" id="{49C2AEEA-2967-4389-8202-4311AA2F6F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0</xdr:colOff>
      <xdr:row>66</xdr:row>
      <xdr:rowOff>0</xdr:rowOff>
    </xdr:from>
    <xdr:to>
      <xdr:col>8</xdr:col>
      <xdr:colOff>878187</xdr:colOff>
      <xdr:row>75</xdr:row>
      <xdr:rowOff>270544</xdr:rowOff>
    </xdr:to>
    <xdr:graphicFrame macro="">
      <xdr:nvGraphicFramePr>
        <xdr:cNvPr id="18" name="Диаграмма 17">
          <a:extLst>
            <a:ext uri="{FF2B5EF4-FFF2-40B4-BE49-F238E27FC236}">
              <a16:creationId xmlns:a16="http://schemas.microsoft.com/office/drawing/2014/main" id="{5DF5CF7A-A71A-4A12-8BAE-AFBA2009D4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0</xdr:colOff>
      <xdr:row>66</xdr:row>
      <xdr:rowOff>0</xdr:rowOff>
    </xdr:from>
    <xdr:to>
      <xdr:col>13</xdr:col>
      <xdr:colOff>878187</xdr:colOff>
      <xdr:row>75</xdr:row>
      <xdr:rowOff>270544</xdr:rowOff>
    </xdr:to>
    <xdr:graphicFrame macro="">
      <xdr:nvGraphicFramePr>
        <xdr:cNvPr id="19" name="Диаграмма 18">
          <a:extLst>
            <a:ext uri="{FF2B5EF4-FFF2-40B4-BE49-F238E27FC236}">
              <a16:creationId xmlns:a16="http://schemas.microsoft.com/office/drawing/2014/main" id="{8073A766-DD91-41CC-B9AB-CDE3D7CDA1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0</xdr:colOff>
      <xdr:row>76</xdr:row>
      <xdr:rowOff>0</xdr:rowOff>
    </xdr:from>
    <xdr:to>
      <xdr:col>8</xdr:col>
      <xdr:colOff>878187</xdr:colOff>
      <xdr:row>85</xdr:row>
      <xdr:rowOff>270543</xdr:rowOff>
    </xdr:to>
    <xdr:graphicFrame macro="">
      <xdr:nvGraphicFramePr>
        <xdr:cNvPr id="20" name="Диаграмма 19">
          <a:extLst>
            <a:ext uri="{FF2B5EF4-FFF2-40B4-BE49-F238E27FC236}">
              <a16:creationId xmlns:a16="http://schemas.microsoft.com/office/drawing/2014/main" id="{25152FAF-494D-4414-9CD9-93D2B0A3B6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0</xdr:colOff>
      <xdr:row>76</xdr:row>
      <xdr:rowOff>0</xdr:rowOff>
    </xdr:from>
    <xdr:to>
      <xdr:col>13</xdr:col>
      <xdr:colOff>878187</xdr:colOff>
      <xdr:row>85</xdr:row>
      <xdr:rowOff>270543</xdr:rowOff>
    </xdr:to>
    <xdr:graphicFrame macro="">
      <xdr:nvGraphicFramePr>
        <xdr:cNvPr id="25" name="Диаграмма 24">
          <a:extLst>
            <a:ext uri="{FF2B5EF4-FFF2-40B4-BE49-F238E27FC236}">
              <a16:creationId xmlns:a16="http://schemas.microsoft.com/office/drawing/2014/main" id="{C48FED35-F1F8-4DDF-9D89-EDD47610AD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</xdr:col>
      <xdr:colOff>0</xdr:colOff>
      <xdr:row>56</xdr:row>
      <xdr:rowOff>0</xdr:rowOff>
    </xdr:from>
    <xdr:to>
      <xdr:col>8</xdr:col>
      <xdr:colOff>878187</xdr:colOff>
      <xdr:row>65</xdr:row>
      <xdr:rowOff>270542</xdr:rowOff>
    </xdr:to>
    <xdr:graphicFrame macro="">
      <xdr:nvGraphicFramePr>
        <xdr:cNvPr id="26" name="Диаграмма 25">
          <a:extLst>
            <a:ext uri="{FF2B5EF4-FFF2-40B4-BE49-F238E27FC236}">
              <a16:creationId xmlns:a16="http://schemas.microsoft.com/office/drawing/2014/main" id="{019F1DE3-0FEB-4A32-B4D2-B4AAFD8F61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0</xdr:colOff>
      <xdr:row>56</xdr:row>
      <xdr:rowOff>0</xdr:rowOff>
    </xdr:from>
    <xdr:to>
      <xdr:col>13</xdr:col>
      <xdr:colOff>878187</xdr:colOff>
      <xdr:row>65</xdr:row>
      <xdr:rowOff>270542</xdr:rowOff>
    </xdr:to>
    <xdr:graphicFrame macro="">
      <xdr:nvGraphicFramePr>
        <xdr:cNvPr id="27" name="Диаграмма 26">
          <a:extLst>
            <a:ext uri="{FF2B5EF4-FFF2-40B4-BE49-F238E27FC236}">
              <a16:creationId xmlns:a16="http://schemas.microsoft.com/office/drawing/2014/main" id="{393BB104-CB8D-47E4-94CA-3613B2CAE0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10</xdr:col>
      <xdr:colOff>0</xdr:colOff>
      <xdr:row>98</xdr:row>
      <xdr:rowOff>25865</xdr:rowOff>
    </xdr:from>
    <xdr:to>
      <xdr:col>14</xdr:col>
      <xdr:colOff>875168</xdr:colOff>
      <xdr:row>107</xdr:row>
      <xdr:rowOff>252435</xdr:rowOff>
    </xdr:to>
    <xdr:graphicFrame macro="">
      <xdr:nvGraphicFramePr>
        <xdr:cNvPr id="46" name="Диаграмма 45">
          <a:extLst>
            <a:ext uri="{FF2B5EF4-FFF2-40B4-BE49-F238E27FC236}">
              <a16:creationId xmlns:a16="http://schemas.microsoft.com/office/drawing/2014/main" id="{A9A38F6B-1FB3-45B1-84C1-1C98EACD38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10</xdr:col>
      <xdr:colOff>0</xdr:colOff>
      <xdr:row>108</xdr:row>
      <xdr:rowOff>25867</xdr:rowOff>
    </xdr:from>
    <xdr:to>
      <xdr:col>14</xdr:col>
      <xdr:colOff>875168</xdr:colOff>
      <xdr:row>117</xdr:row>
      <xdr:rowOff>252438</xdr:rowOff>
    </xdr:to>
    <xdr:graphicFrame macro="">
      <xdr:nvGraphicFramePr>
        <xdr:cNvPr id="47" name="Диаграмма 46">
          <a:extLst>
            <a:ext uri="{FF2B5EF4-FFF2-40B4-BE49-F238E27FC236}">
              <a16:creationId xmlns:a16="http://schemas.microsoft.com/office/drawing/2014/main" id="{B029C72F-E19A-4F69-AB85-87790D9AEA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10</xdr:col>
      <xdr:colOff>0</xdr:colOff>
      <xdr:row>88</xdr:row>
      <xdr:rowOff>25867</xdr:rowOff>
    </xdr:from>
    <xdr:to>
      <xdr:col>14</xdr:col>
      <xdr:colOff>875168</xdr:colOff>
      <xdr:row>97</xdr:row>
      <xdr:rowOff>252434</xdr:rowOff>
    </xdr:to>
    <xdr:graphicFrame macro="">
      <xdr:nvGraphicFramePr>
        <xdr:cNvPr id="48" name="Диаграмма 47">
          <a:extLst>
            <a:ext uri="{FF2B5EF4-FFF2-40B4-BE49-F238E27FC236}">
              <a16:creationId xmlns:a16="http://schemas.microsoft.com/office/drawing/2014/main" id="{99ECC4C0-14EF-4C42-A66B-FDFA4CD350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</xdr:col>
      <xdr:colOff>0</xdr:colOff>
      <xdr:row>98</xdr:row>
      <xdr:rowOff>25865</xdr:rowOff>
    </xdr:from>
    <xdr:to>
      <xdr:col>9</xdr:col>
      <xdr:colOff>875169</xdr:colOff>
      <xdr:row>107</xdr:row>
      <xdr:rowOff>252435</xdr:rowOff>
    </xdr:to>
    <xdr:graphicFrame macro="">
      <xdr:nvGraphicFramePr>
        <xdr:cNvPr id="49" name="Диаграмма 48">
          <a:extLst>
            <a:ext uri="{FF2B5EF4-FFF2-40B4-BE49-F238E27FC236}">
              <a16:creationId xmlns:a16="http://schemas.microsoft.com/office/drawing/2014/main" id="{763A6E03-E0BC-4A4A-9924-0ECE5ED47E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5</xdr:col>
      <xdr:colOff>0</xdr:colOff>
      <xdr:row>108</xdr:row>
      <xdr:rowOff>25867</xdr:rowOff>
    </xdr:from>
    <xdr:to>
      <xdr:col>9</xdr:col>
      <xdr:colOff>875169</xdr:colOff>
      <xdr:row>117</xdr:row>
      <xdr:rowOff>252438</xdr:rowOff>
    </xdr:to>
    <xdr:graphicFrame macro="">
      <xdr:nvGraphicFramePr>
        <xdr:cNvPr id="50" name="Диаграмма 49">
          <a:extLst>
            <a:ext uri="{FF2B5EF4-FFF2-40B4-BE49-F238E27FC236}">
              <a16:creationId xmlns:a16="http://schemas.microsoft.com/office/drawing/2014/main" id="{1F10CE7F-881D-43DB-8FCF-7E242748B8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</xdr:col>
      <xdr:colOff>0</xdr:colOff>
      <xdr:row>88</xdr:row>
      <xdr:rowOff>25867</xdr:rowOff>
    </xdr:from>
    <xdr:to>
      <xdr:col>9</xdr:col>
      <xdr:colOff>875169</xdr:colOff>
      <xdr:row>97</xdr:row>
      <xdr:rowOff>252434</xdr:rowOff>
    </xdr:to>
    <xdr:graphicFrame macro="">
      <xdr:nvGraphicFramePr>
        <xdr:cNvPr id="51" name="Диаграмма 50">
          <a:extLst>
            <a:ext uri="{FF2B5EF4-FFF2-40B4-BE49-F238E27FC236}">
              <a16:creationId xmlns:a16="http://schemas.microsoft.com/office/drawing/2014/main" id="{2B7A1B51-05CA-4ABE-8C89-DCE468882B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15</xdr:col>
      <xdr:colOff>0</xdr:colOff>
      <xdr:row>98</xdr:row>
      <xdr:rowOff>25865</xdr:rowOff>
    </xdr:from>
    <xdr:to>
      <xdr:col>19</xdr:col>
      <xdr:colOff>875169</xdr:colOff>
      <xdr:row>107</xdr:row>
      <xdr:rowOff>252435</xdr:rowOff>
    </xdr:to>
    <xdr:graphicFrame macro="">
      <xdr:nvGraphicFramePr>
        <xdr:cNvPr id="52" name="Диаграмма 51">
          <a:extLst>
            <a:ext uri="{FF2B5EF4-FFF2-40B4-BE49-F238E27FC236}">
              <a16:creationId xmlns:a16="http://schemas.microsoft.com/office/drawing/2014/main" id="{E4142394-2C36-45D3-8CE4-58538E7E3E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15</xdr:col>
      <xdr:colOff>0</xdr:colOff>
      <xdr:row>108</xdr:row>
      <xdr:rowOff>25867</xdr:rowOff>
    </xdr:from>
    <xdr:to>
      <xdr:col>19</xdr:col>
      <xdr:colOff>875169</xdr:colOff>
      <xdr:row>117</xdr:row>
      <xdr:rowOff>252438</xdr:rowOff>
    </xdr:to>
    <xdr:graphicFrame macro="">
      <xdr:nvGraphicFramePr>
        <xdr:cNvPr id="53" name="Диаграмма 52">
          <a:extLst>
            <a:ext uri="{FF2B5EF4-FFF2-40B4-BE49-F238E27FC236}">
              <a16:creationId xmlns:a16="http://schemas.microsoft.com/office/drawing/2014/main" id="{5E5114E3-54DD-4DAA-8D81-106A51C2CF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15</xdr:col>
      <xdr:colOff>0</xdr:colOff>
      <xdr:row>88</xdr:row>
      <xdr:rowOff>25867</xdr:rowOff>
    </xdr:from>
    <xdr:to>
      <xdr:col>19</xdr:col>
      <xdr:colOff>875169</xdr:colOff>
      <xdr:row>97</xdr:row>
      <xdr:rowOff>252434</xdr:rowOff>
    </xdr:to>
    <xdr:graphicFrame macro="">
      <xdr:nvGraphicFramePr>
        <xdr:cNvPr id="54" name="Диаграмма 53">
          <a:extLst>
            <a:ext uri="{FF2B5EF4-FFF2-40B4-BE49-F238E27FC236}">
              <a16:creationId xmlns:a16="http://schemas.microsoft.com/office/drawing/2014/main" id="{4B0A98BE-2E33-433A-9CF6-5D5E08807A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5</xdr:col>
      <xdr:colOff>0</xdr:colOff>
      <xdr:row>133</xdr:row>
      <xdr:rowOff>25868</xdr:rowOff>
    </xdr:from>
    <xdr:to>
      <xdr:col>12</xdr:col>
      <xdr:colOff>12934</xdr:colOff>
      <xdr:row>147</xdr:row>
      <xdr:rowOff>22665</xdr:rowOff>
    </xdr:to>
    <xdr:graphicFrame macro="">
      <xdr:nvGraphicFramePr>
        <xdr:cNvPr id="58" name="Диаграмма 57">
          <a:extLst>
            <a:ext uri="{FF2B5EF4-FFF2-40B4-BE49-F238E27FC236}">
              <a16:creationId xmlns:a16="http://schemas.microsoft.com/office/drawing/2014/main" id="{F8AEB44A-4667-4483-BC2D-CB23B4E295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4</xdr:col>
      <xdr:colOff>1358019</xdr:colOff>
      <xdr:row>147</xdr:row>
      <xdr:rowOff>25866</xdr:rowOff>
    </xdr:from>
    <xdr:to>
      <xdr:col>11</xdr:col>
      <xdr:colOff>879478</xdr:colOff>
      <xdr:row>160</xdr:row>
      <xdr:rowOff>271061</xdr:rowOff>
    </xdr:to>
    <xdr:graphicFrame macro="">
      <xdr:nvGraphicFramePr>
        <xdr:cNvPr id="59" name="Диаграмма 58">
          <a:extLst>
            <a:ext uri="{FF2B5EF4-FFF2-40B4-BE49-F238E27FC236}">
              <a16:creationId xmlns:a16="http://schemas.microsoft.com/office/drawing/2014/main" id="{85889AAC-9BD8-4731-8A8C-7AC78E8525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4</xdr:col>
      <xdr:colOff>1358019</xdr:colOff>
      <xdr:row>119</xdr:row>
      <xdr:rowOff>25866</xdr:rowOff>
    </xdr:from>
    <xdr:to>
      <xdr:col>11</xdr:col>
      <xdr:colOff>879478</xdr:colOff>
      <xdr:row>132</xdr:row>
      <xdr:rowOff>271059</xdr:rowOff>
    </xdr:to>
    <xdr:graphicFrame macro="">
      <xdr:nvGraphicFramePr>
        <xdr:cNvPr id="60" name="Диаграмма 59">
          <a:extLst>
            <a:ext uri="{FF2B5EF4-FFF2-40B4-BE49-F238E27FC236}">
              <a16:creationId xmlns:a16="http://schemas.microsoft.com/office/drawing/2014/main" id="{45899311-6625-49BE-9FD4-424B17CCB5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12</xdr:col>
      <xdr:colOff>0</xdr:colOff>
      <xdr:row>119</xdr:row>
      <xdr:rowOff>0</xdr:rowOff>
    </xdr:from>
    <xdr:to>
      <xdr:col>18</xdr:col>
      <xdr:colOff>880388</xdr:colOff>
      <xdr:row>132</xdr:row>
      <xdr:rowOff>245738</xdr:rowOff>
    </xdr:to>
    <xdr:graphicFrame macro="">
      <xdr:nvGraphicFramePr>
        <xdr:cNvPr id="36" name="Диаграмма 35">
          <a:extLst>
            <a:ext uri="{FF2B5EF4-FFF2-40B4-BE49-F238E27FC236}">
              <a16:creationId xmlns:a16="http://schemas.microsoft.com/office/drawing/2014/main" id="{C32472AA-ADFA-4D1E-922D-02DF8A983C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19</xdr:col>
      <xdr:colOff>1</xdr:colOff>
      <xdr:row>119</xdr:row>
      <xdr:rowOff>0</xdr:rowOff>
    </xdr:from>
    <xdr:to>
      <xdr:col>28</xdr:col>
      <xdr:colOff>478541</xdr:colOff>
      <xdr:row>132</xdr:row>
      <xdr:rowOff>249817</xdr:rowOff>
    </xdr:to>
    <xdr:graphicFrame macro="">
      <xdr:nvGraphicFramePr>
        <xdr:cNvPr id="64" name="Диаграмма 63">
          <a:extLst>
            <a:ext uri="{FF2B5EF4-FFF2-40B4-BE49-F238E27FC236}">
              <a16:creationId xmlns:a16="http://schemas.microsoft.com/office/drawing/2014/main" id="{00FAE3B6-E51C-41A7-9789-ECDE2BA588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19</xdr:col>
      <xdr:colOff>0</xdr:colOff>
      <xdr:row>133</xdr:row>
      <xdr:rowOff>0</xdr:rowOff>
    </xdr:from>
    <xdr:to>
      <xdr:col>28</xdr:col>
      <xdr:colOff>465606</xdr:colOff>
      <xdr:row>146</xdr:row>
      <xdr:rowOff>260664</xdr:rowOff>
    </xdr:to>
    <xdr:graphicFrame macro="">
      <xdr:nvGraphicFramePr>
        <xdr:cNvPr id="65" name="Диаграмма 64">
          <a:extLst>
            <a:ext uri="{FF2B5EF4-FFF2-40B4-BE49-F238E27FC236}">
              <a16:creationId xmlns:a16="http://schemas.microsoft.com/office/drawing/2014/main" id="{C1664293-10B8-4A11-80A9-92103D22D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12</xdr:col>
      <xdr:colOff>0</xdr:colOff>
      <xdr:row>133</xdr:row>
      <xdr:rowOff>0</xdr:rowOff>
    </xdr:from>
    <xdr:to>
      <xdr:col>18</xdr:col>
      <xdr:colOff>892413</xdr:colOff>
      <xdr:row>146</xdr:row>
      <xdr:rowOff>252926</xdr:rowOff>
    </xdr:to>
    <xdr:graphicFrame macro="">
      <xdr:nvGraphicFramePr>
        <xdr:cNvPr id="66" name="Диаграмма 65">
          <a:extLst>
            <a:ext uri="{FF2B5EF4-FFF2-40B4-BE49-F238E27FC236}">
              <a16:creationId xmlns:a16="http://schemas.microsoft.com/office/drawing/2014/main" id="{BEB75FEF-420F-48A2-910F-203FF699D7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19</xdr:col>
      <xdr:colOff>0</xdr:colOff>
      <xdr:row>146</xdr:row>
      <xdr:rowOff>271603</xdr:rowOff>
    </xdr:from>
    <xdr:to>
      <xdr:col>28</xdr:col>
      <xdr:colOff>452673</xdr:colOff>
      <xdr:row>160</xdr:row>
      <xdr:rowOff>252933</xdr:rowOff>
    </xdr:to>
    <xdr:graphicFrame macro="">
      <xdr:nvGraphicFramePr>
        <xdr:cNvPr id="67" name="Диаграмма 66">
          <a:extLst>
            <a:ext uri="{FF2B5EF4-FFF2-40B4-BE49-F238E27FC236}">
              <a16:creationId xmlns:a16="http://schemas.microsoft.com/office/drawing/2014/main" id="{2E6D0036-B959-4770-A365-ADBF567038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12</xdr:col>
      <xdr:colOff>0</xdr:colOff>
      <xdr:row>146</xdr:row>
      <xdr:rowOff>271603</xdr:rowOff>
    </xdr:from>
    <xdr:to>
      <xdr:col>19</xdr:col>
      <xdr:colOff>0</xdr:colOff>
      <xdr:row>160</xdr:row>
      <xdr:rowOff>260671</xdr:rowOff>
    </xdr:to>
    <xdr:graphicFrame macro="">
      <xdr:nvGraphicFramePr>
        <xdr:cNvPr id="68" name="Диаграмма 67">
          <a:extLst>
            <a:ext uri="{FF2B5EF4-FFF2-40B4-BE49-F238E27FC236}">
              <a16:creationId xmlns:a16="http://schemas.microsoft.com/office/drawing/2014/main" id="{BEC6F7B1-5C2F-41E0-B6B6-0259E9BB52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208229</xdr:colOff>
      <xdr:row>0</xdr:row>
      <xdr:rowOff>162962</xdr:rowOff>
    </xdr:from>
    <xdr:to>
      <xdr:col>10</xdr:col>
      <xdr:colOff>57156</xdr:colOff>
      <xdr:row>18</xdr:row>
      <xdr:rowOff>273426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AF8B7F6-D74A-4CDC-B0AF-980BCBE24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229" y="162962"/>
          <a:ext cx="5643145" cy="5162298"/>
        </a:xfrm>
        <a:prstGeom prst="rect">
          <a:avLst/>
        </a:prstGeom>
      </xdr:spPr>
    </xdr:pic>
    <xdr:clientData/>
  </xdr:twoCellAnchor>
  <xdr:twoCellAnchor editAs="oneCell">
    <xdr:from>
      <xdr:col>10</xdr:col>
      <xdr:colOff>181069</xdr:colOff>
      <xdr:row>0</xdr:row>
      <xdr:rowOff>262550</xdr:rowOff>
    </xdr:from>
    <xdr:to>
      <xdr:col>21</xdr:col>
      <xdr:colOff>176382</xdr:colOff>
      <xdr:row>6</xdr:row>
      <xdr:rowOff>257032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221F9B8A-2F8A-4250-B9AE-2A1DBD282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75287" y="262550"/>
          <a:ext cx="6368952" cy="16784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1"/>
  <sheetViews>
    <sheetView topLeftCell="A64" workbookViewId="0">
      <selection activeCell="B87" sqref="B87"/>
    </sheetView>
  </sheetViews>
  <sheetFormatPr defaultRowHeight="17.850000000000001" x14ac:dyDescent="0.25"/>
  <cols>
    <col min="1" max="1" width="65.7109375" style="1" customWidth="1"/>
    <col min="2" max="5" width="26.7109375" style="1" customWidth="1"/>
    <col min="6" max="6" width="9.140625" style="1"/>
    <col min="7" max="7" width="23.140625" style="1" bestFit="1" customWidth="1"/>
    <col min="8" max="9" width="24.85546875" style="1" customWidth="1"/>
    <col min="10" max="16384" width="9.140625" style="1"/>
  </cols>
  <sheetData>
    <row r="1" spans="1:23" x14ac:dyDescent="0.25">
      <c r="A1" s="2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3" x14ac:dyDescent="0.2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3" x14ac:dyDescent="0.25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23" ht="17.850000000000001" customHeight="1" x14ac:dyDescent="0.25">
      <c r="A5" s="49" t="s">
        <v>22</v>
      </c>
      <c r="B5" s="50"/>
      <c r="C5" s="50"/>
      <c r="D5" s="50"/>
      <c r="E5" s="51"/>
      <c r="G5" s="56" t="s">
        <v>3</v>
      </c>
      <c r="H5" s="56"/>
      <c r="S5" s="5"/>
      <c r="T5" s="14"/>
      <c r="U5" s="14"/>
      <c r="V5" s="14"/>
      <c r="W5" s="14"/>
    </row>
    <row r="6" spans="1:23" x14ac:dyDescent="0.25">
      <c r="A6" s="4" t="s">
        <v>4</v>
      </c>
      <c r="B6" s="53" t="s">
        <v>5</v>
      </c>
      <c r="C6" s="53"/>
      <c r="D6" s="53"/>
      <c r="E6" s="53"/>
      <c r="G6" s="56"/>
      <c r="H6" s="56"/>
      <c r="S6" s="14"/>
      <c r="T6" s="14"/>
      <c r="U6" s="14"/>
      <c r="V6" s="14"/>
      <c r="W6" s="14"/>
    </row>
    <row r="7" spans="1:23" x14ac:dyDescent="0.25">
      <c r="A7" s="3" t="s">
        <v>6</v>
      </c>
      <c r="B7" s="7">
        <v>1000</v>
      </c>
      <c r="C7" s="7">
        <v>3000</v>
      </c>
      <c r="D7" s="8">
        <v>7000</v>
      </c>
      <c r="E7" s="8">
        <v>10000</v>
      </c>
      <c r="G7" s="56"/>
      <c r="H7" s="56"/>
      <c r="S7" s="14"/>
      <c r="T7" s="14"/>
      <c r="U7" s="14"/>
      <c r="V7" s="14"/>
      <c r="W7" s="14"/>
    </row>
    <row r="8" spans="1:23" x14ac:dyDescent="0.25">
      <c r="A8" s="54" t="s">
        <v>11</v>
      </c>
      <c r="B8" s="54"/>
      <c r="C8" s="54"/>
      <c r="D8" s="54"/>
      <c r="E8" s="54"/>
      <c r="G8" s="56"/>
      <c r="H8" s="56"/>
      <c r="S8" s="14"/>
      <c r="T8" s="14"/>
      <c r="U8" s="14"/>
      <c r="V8" s="14"/>
      <c r="W8" s="14"/>
    </row>
    <row r="9" spans="1:23" x14ac:dyDescent="0.25">
      <c r="A9" s="3" t="s">
        <v>7</v>
      </c>
      <c r="B9" s="9">
        <v>20</v>
      </c>
      <c r="C9" s="10">
        <v>197</v>
      </c>
      <c r="D9" s="10">
        <v>1042</v>
      </c>
      <c r="E9" s="10">
        <v>1746</v>
      </c>
      <c r="S9" s="14"/>
      <c r="T9" s="14"/>
      <c r="U9" s="14"/>
      <c r="V9" s="14"/>
      <c r="W9" s="14"/>
    </row>
    <row r="10" spans="1:23" x14ac:dyDescent="0.25">
      <c r="A10" s="3" t="s">
        <v>8</v>
      </c>
      <c r="B10" s="9">
        <v>753</v>
      </c>
      <c r="C10" s="10" t="s">
        <v>13</v>
      </c>
      <c r="D10" s="10" t="s">
        <v>15</v>
      </c>
      <c r="E10" s="10" t="s">
        <v>17</v>
      </c>
      <c r="S10" s="5"/>
      <c r="T10" s="5"/>
      <c r="U10" s="5"/>
      <c r="V10" s="5"/>
      <c r="W10" s="5"/>
    </row>
    <row r="11" spans="1:23" x14ac:dyDescent="0.25">
      <c r="A11" s="3" t="s">
        <v>9</v>
      </c>
      <c r="B11" s="9">
        <v>776</v>
      </c>
      <c r="C11" s="10" t="s">
        <v>14</v>
      </c>
      <c r="D11" s="10" t="s">
        <v>16</v>
      </c>
      <c r="E11" s="10" t="s">
        <v>18</v>
      </c>
      <c r="F11" s="5"/>
      <c r="G11" s="5"/>
      <c r="S11" s="5"/>
      <c r="T11" s="5"/>
      <c r="U11" s="5"/>
      <c r="V11" s="5"/>
      <c r="W11" s="5"/>
    </row>
    <row r="12" spans="1:23" x14ac:dyDescent="0.25">
      <c r="A12" s="54" t="s">
        <v>12</v>
      </c>
      <c r="B12" s="54"/>
      <c r="C12" s="54"/>
      <c r="D12" s="54"/>
      <c r="E12" s="54"/>
      <c r="F12" s="5"/>
    </row>
    <row r="13" spans="1:23" x14ac:dyDescent="0.25">
      <c r="A13" s="3" t="s">
        <v>7</v>
      </c>
      <c r="B13" s="9">
        <v>20</v>
      </c>
      <c r="C13" s="10">
        <v>232</v>
      </c>
      <c r="D13" s="58" t="s">
        <v>21</v>
      </c>
      <c r="E13" s="10">
        <v>1811</v>
      </c>
      <c r="F13" s="5"/>
    </row>
    <row r="14" spans="1:23" x14ac:dyDescent="0.25">
      <c r="A14" s="3" t="s">
        <v>8</v>
      </c>
      <c r="B14" s="9">
        <v>904</v>
      </c>
      <c r="C14" s="10" t="s">
        <v>19</v>
      </c>
      <c r="D14" s="59"/>
      <c r="E14" s="10" t="s">
        <v>10</v>
      </c>
      <c r="F14" s="5"/>
      <c r="G14" s="5"/>
      <c r="H14" s="5"/>
    </row>
    <row r="15" spans="1:23" x14ac:dyDescent="0.25">
      <c r="A15" s="3" t="s">
        <v>9</v>
      </c>
      <c r="B15" s="9">
        <v>926</v>
      </c>
      <c r="C15" s="10" t="s">
        <v>20</v>
      </c>
      <c r="D15" s="60"/>
      <c r="E15" s="10" t="s">
        <v>10</v>
      </c>
    </row>
    <row r="18" spans="1:9" x14ac:dyDescent="0.25">
      <c r="A18" s="61" t="s">
        <v>32</v>
      </c>
      <c r="B18" s="61"/>
      <c r="C18" s="61"/>
      <c r="D18" s="61"/>
      <c r="E18" s="61"/>
    </row>
    <row r="19" spans="1:9" x14ac:dyDescent="0.25">
      <c r="A19" s="4" t="s">
        <v>4</v>
      </c>
      <c r="B19" s="53" t="s">
        <v>5</v>
      </c>
      <c r="C19" s="53"/>
      <c r="D19" s="53"/>
      <c r="E19" s="53"/>
    </row>
    <row r="20" spans="1:9" x14ac:dyDescent="0.25">
      <c r="A20" s="3" t="s">
        <v>6</v>
      </c>
      <c r="B20" s="11">
        <v>1000</v>
      </c>
      <c r="C20" s="11">
        <v>3000</v>
      </c>
      <c r="D20" s="8">
        <v>7000</v>
      </c>
      <c r="E20" s="8">
        <v>10000</v>
      </c>
    </row>
    <row r="21" spans="1:9" x14ac:dyDescent="0.25">
      <c r="A21" s="54" t="s">
        <v>11</v>
      </c>
      <c r="B21" s="54"/>
      <c r="C21" s="54"/>
      <c r="D21" s="54"/>
      <c r="E21" s="54"/>
    </row>
    <row r="22" spans="1:9" x14ac:dyDescent="0.25">
      <c r="A22" s="3" t="s">
        <v>7</v>
      </c>
      <c r="B22" s="9" t="s">
        <v>23</v>
      </c>
      <c r="C22" s="10" t="s">
        <v>26</v>
      </c>
      <c r="D22" s="10" t="s">
        <v>29</v>
      </c>
      <c r="E22" s="10" t="s">
        <v>33</v>
      </c>
    </row>
    <row r="23" spans="1:9" x14ac:dyDescent="0.25">
      <c r="A23" s="3" t="s">
        <v>8</v>
      </c>
      <c r="B23" s="9" t="s">
        <v>24</v>
      </c>
      <c r="C23" s="10" t="s">
        <v>27</v>
      </c>
      <c r="D23" s="10" t="s">
        <v>30</v>
      </c>
      <c r="E23" s="10" t="s">
        <v>34</v>
      </c>
    </row>
    <row r="24" spans="1:9" x14ac:dyDescent="0.25">
      <c r="A24" s="3" t="s">
        <v>9</v>
      </c>
      <c r="B24" s="9" t="s">
        <v>25</v>
      </c>
      <c r="C24" s="10" t="s">
        <v>28</v>
      </c>
      <c r="D24" s="10" t="s">
        <v>31</v>
      </c>
      <c r="E24" s="10" t="s">
        <v>35</v>
      </c>
      <c r="G24" s="18"/>
      <c r="H24" s="55"/>
      <c r="I24" s="55"/>
    </row>
    <row r="25" spans="1:9" x14ac:dyDescent="0.25">
      <c r="A25" s="54" t="s">
        <v>12</v>
      </c>
      <c r="B25" s="54"/>
      <c r="C25" s="54"/>
      <c r="D25" s="54"/>
      <c r="E25" s="54"/>
      <c r="G25" s="19"/>
      <c r="H25" s="17"/>
      <c r="I25" s="17"/>
    </row>
    <row r="26" spans="1:9" x14ac:dyDescent="0.25">
      <c r="A26" s="3" t="s">
        <v>7</v>
      </c>
      <c r="B26" s="9" t="s">
        <v>36</v>
      </c>
      <c r="C26" s="10" t="s">
        <v>39</v>
      </c>
      <c r="D26" s="10" t="s">
        <v>41</v>
      </c>
      <c r="E26" s="10" t="s">
        <v>46</v>
      </c>
      <c r="G26" s="20"/>
      <c r="H26" s="21"/>
      <c r="I26" s="22"/>
    </row>
    <row r="27" spans="1:9" x14ac:dyDescent="0.25">
      <c r="A27" s="3" t="s">
        <v>8</v>
      </c>
      <c r="B27" s="9" t="s">
        <v>37</v>
      </c>
      <c r="C27" s="10" t="s">
        <v>44</v>
      </c>
      <c r="D27" s="10" t="s">
        <v>42</v>
      </c>
      <c r="E27" s="10" t="s">
        <v>48</v>
      </c>
      <c r="G27" s="20"/>
      <c r="H27" s="21"/>
      <c r="I27" s="18"/>
    </row>
    <row r="28" spans="1:9" x14ac:dyDescent="0.25">
      <c r="A28" s="3" t="s">
        <v>9</v>
      </c>
      <c r="B28" s="9" t="s">
        <v>38</v>
      </c>
      <c r="C28" s="10" t="s">
        <v>45</v>
      </c>
      <c r="D28" s="10" t="s">
        <v>43</v>
      </c>
      <c r="E28" s="10" t="s">
        <v>49</v>
      </c>
      <c r="G28" s="23"/>
      <c r="H28" s="18"/>
      <c r="I28" s="18"/>
    </row>
    <row r="29" spans="1:9" x14ac:dyDescent="0.25">
      <c r="C29" s="1" t="s">
        <v>40</v>
      </c>
      <c r="D29" s="1" t="s">
        <v>47</v>
      </c>
      <c r="E29" s="1" t="s">
        <v>50</v>
      </c>
      <c r="G29" s="20"/>
      <c r="H29" s="21"/>
      <c r="I29" s="18"/>
    </row>
    <row r="30" spans="1:9" x14ac:dyDescent="0.25">
      <c r="G30" s="23"/>
      <c r="H30" s="18"/>
      <c r="I30" s="18"/>
    </row>
    <row r="31" spans="1:9" x14ac:dyDescent="0.25">
      <c r="A31" s="49" t="s">
        <v>70</v>
      </c>
      <c r="B31" s="50"/>
      <c r="C31" s="51"/>
      <c r="D31" s="52" t="s">
        <v>91</v>
      </c>
      <c r="E31" s="52" t="s">
        <v>91</v>
      </c>
      <c r="G31" s="20"/>
      <c r="H31" s="21"/>
      <c r="I31" s="18"/>
    </row>
    <row r="32" spans="1:9" x14ac:dyDescent="0.25">
      <c r="A32" s="4" t="s">
        <v>4</v>
      </c>
      <c r="B32" s="53" t="s">
        <v>5</v>
      </c>
      <c r="C32" s="53"/>
      <c r="D32" s="53"/>
      <c r="E32" s="53"/>
      <c r="G32" s="23"/>
      <c r="H32" s="18"/>
      <c r="I32" s="18"/>
    </row>
    <row r="33" spans="1:9" x14ac:dyDescent="0.25">
      <c r="A33" s="3" t="s">
        <v>6</v>
      </c>
      <c r="B33" s="12">
        <v>1000</v>
      </c>
      <c r="C33" s="12">
        <v>3000</v>
      </c>
      <c r="D33" s="8">
        <v>7000</v>
      </c>
      <c r="E33" s="8">
        <v>10000</v>
      </c>
      <c r="G33" s="20"/>
      <c r="H33" s="21"/>
      <c r="I33" s="18"/>
    </row>
    <row r="34" spans="1:9" x14ac:dyDescent="0.25">
      <c r="A34" s="54" t="s">
        <v>11</v>
      </c>
      <c r="B34" s="54"/>
      <c r="C34" s="54"/>
      <c r="D34" s="54"/>
      <c r="E34" s="54"/>
      <c r="G34" s="23"/>
      <c r="H34" s="18"/>
      <c r="I34" s="18"/>
    </row>
    <row r="35" spans="1:9" x14ac:dyDescent="0.25">
      <c r="A35" s="3" t="s">
        <v>7</v>
      </c>
      <c r="B35" s="9" t="s">
        <v>60</v>
      </c>
      <c r="C35" s="10" t="s">
        <v>57</v>
      </c>
      <c r="D35" s="10" t="s">
        <v>52</v>
      </c>
      <c r="E35" s="10" t="s">
        <v>51</v>
      </c>
      <c r="G35" s="23"/>
      <c r="H35" s="18"/>
      <c r="I35" s="18"/>
    </row>
    <row r="36" spans="1:9" x14ac:dyDescent="0.25">
      <c r="A36" s="3" t="s">
        <v>8</v>
      </c>
      <c r="B36" s="9" t="s">
        <v>61</v>
      </c>
      <c r="C36" s="10" t="s">
        <v>58</v>
      </c>
      <c r="D36" s="10" t="s">
        <v>55</v>
      </c>
      <c r="E36" s="10" t="s">
        <v>53</v>
      </c>
      <c r="G36" s="23"/>
      <c r="H36" s="18"/>
      <c r="I36" s="18"/>
    </row>
    <row r="37" spans="1:9" x14ac:dyDescent="0.25">
      <c r="A37" s="3" t="s">
        <v>9</v>
      </c>
      <c r="B37" s="9" t="s">
        <v>62</v>
      </c>
      <c r="C37" s="10" t="s">
        <v>59</v>
      </c>
      <c r="D37" s="10" t="s">
        <v>56</v>
      </c>
      <c r="E37" s="10" t="s">
        <v>54</v>
      </c>
      <c r="G37" s="20"/>
      <c r="H37" s="21"/>
      <c r="I37" s="18"/>
    </row>
    <row r="38" spans="1:9" x14ac:dyDescent="0.25">
      <c r="A38" s="54" t="s">
        <v>12</v>
      </c>
      <c r="B38" s="54"/>
      <c r="C38" s="54"/>
      <c r="D38" s="54"/>
      <c r="E38" s="54"/>
      <c r="G38" s="23"/>
      <c r="H38" s="18"/>
      <c r="I38" s="18"/>
    </row>
    <row r="39" spans="1:9" x14ac:dyDescent="0.25">
      <c r="A39" s="3" t="s">
        <v>7</v>
      </c>
      <c r="B39" s="9" t="s">
        <v>74</v>
      </c>
      <c r="C39" s="10" t="s">
        <v>71</v>
      </c>
      <c r="D39" s="10" t="s">
        <v>67</v>
      </c>
      <c r="E39" s="10" t="s">
        <v>63</v>
      </c>
      <c r="G39" s="23"/>
      <c r="H39" s="18"/>
      <c r="I39" s="18"/>
    </row>
    <row r="40" spans="1:9" x14ac:dyDescent="0.25">
      <c r="A40" s="3" t="s">
        <v>8</v>
      </c>
      <c r="B40" s="9" t="s">
        <v>75</v>
      </c>
      <c r="C40" s="10" t="s">
        <v>72</v>
      </c>
      <c r="D40" s="10" t="s">
        <v>68</v>
      </c>
      <c r="E40" s="10" t="s">
        <v>64</v>
      </c>
      <c r="G40" s="23"/>
      <c r="H40" s="18"/>
      <c r="I40" s="18"/>
    </row>
    <row r="41" spans="1:9" x14ac:dyDescent="0.25">
      <c r="A41" s="3" t="s">
        <v>9</v>
      </c>
      <c r="B41" s="9" t="s">
        <v>76</v>
      </c>
      <c r="C41" s="10" t="s">
        <v>73</v>
      </c>
      <c r="D41" s="10" t="s">
        <v>69</v>
      </c>
      <c r="E41" s="10" t="s">
        <v>65</v>
      </c>
      <c r="G41" s="20"/>
      <c r="H41" s="21"/>
      <c r="I41" s="18"/>
    </row>
    <row r="42" spans="1:9" x14ac:dyDescent="0.25">
      <c r="B42" s="57" t="s">
        <v>66</v>
      </c>
      <c r="C42" s="57"/>
      <c r="D42" s="57"/>
      <c r="E42" s="57"/>
    </row>
    <row r="44" spans="1:9" x14ac:dyDescent="0.25">
      <c r="A44" s="49" t="s">
        <v>82</v>
      </c>
      <c r="B44" s="50"/>
      <c r="C44" s="51"/>
      <c r="D44" s="52" t="s">
        <v>92</v>
      </c>
      <c r="E44" s="52" t="s">
        <v>91</v>
      </c>
    </row>
    <row r="45" spans="1:9" x14ac:dyDescent="0.25">
      <c r="A45" s="4" t="s">
        <v>4</v>
      </c>
      <c r="B45" s="53" t="s">
        <v>5</v>
      </c>
      <c r="C45" s="53"/>
      <c r="D45" s="53"/>
      <c r="E45" s="53"/>
    </row>
    <row r="46" spans="1:9" x14ac:dyDescent="0.25">
      <c r="A46" s="3" t="s">
        <v>6</v>
      </c>
      <c r="B46" s="28">
        <v>1000</v>
      </c>
      <c r="C46" s="28">
        <v>3000</v>
      </c>
      <c r="D46" s="8">
        <v>7000</v>
      </c>
      <c r="E46" s="8">
        <v>10000</v>
      </c>
    </row>
    <row r="47" spans="1:9" x14ac:dyDescent="0.25">
      <c r="A47" s="54" t="s">
        <v>11</v>
      </c>
      <c r="B47" s="54"/>
      <c r="C47" s="54"/>
      <c r="D47" s="54"/>
      <c r="E47" s="54"/>
      <c r="G47" s="1" t="s">
        <v>95</v>
      </c>
      <c r="H47" s="1" t="s">
        <v>94</v>
      </c>
    </row>
    <row r="48" spans="1:9" x14ac:dyDescent="0.25">
      <c r="A48" s="3" t="s">
        <v>7</v>
      </c>
      <c r="B48" s="9">
        <v>15</v>
      </c>
      <c r="C48" s="10">
        <v>150</v>
      </c>
      <c r="D48" s="10">
        <v>729</v>
      </c>
      <c r="E48" s="10">
        <v>1519</v>
      </c>
      <c r="G48" s="1">
        <v>64</v>
      </c>
      <c r="H48" s="1">
        <v>30687</v>
      </c>
    </row>
    <row r="49" spans="1:8" x14ac:dyDescent="0.25">
      <c r="A49" s="3" t="s">
        <v>8</v>
      </c>
      <c r="B49" s="9">
        <v>52</v>
      </c>
      <c r="C49" s="10">
        <v>903</v>
      </c>
      <c r="D49" s="10">
        <v>10267</v>
      </c>
      <c r="E49" s="10">
        <v>26615</v>
      </c>
      <c r="G49" s="1">
        <v>128</v>
      </c>
      <c r="H49" s="1">
        <v>30690</v>
      </c>
    </row>
    <row r="50" spans="1:8" x14ac:dyDescent="0.25">
      <c r="A50" s="3" t="s">
        <v>9</v>
      </c>
      <c r="B50" s="9">
        <v>68</v>
      </c>
      <c r="C50" s="10">
        <v>1053</v>
      </c>
      <c r="D50" s="10">
        <v>10997</v>
      </c>
      <c r="E50" s="10">
        <v>28134</v>
      </c>
      <c r="G50" s="1">
        <v>256</v>
      </c>
      <c r="H50" s="1">
        <v>32278</v>
      </c>
    </row>
    <row r="51" spans="1:8" x14ac:dyDescent="0.25">
      <c r="A51" s="54" t="s">
        <v>12</v>
      </c>
      <c r="B51" s="54"/>
      <c r="C51" s="54"/>
      <c r="D51" s="54"/>
      <c r="E51" s="54"/>
    </row>
    <row r="52" spans="1:8" x14ac:dyDescent="0.25">
      <c r="A52" s="3" t="s">
        <v>7</v>
      </c>
      <c r="B52" s="9">
        <v>16</v>
      </c>
      <c r="C52" s="10">
        <v>154</v>
      </c>
      <c r="D52" s="10">
        <v>851</v>
      </c>
      <c r="E52" s="10">
        <v>1750</v>
      </c>
    </row>
    <row r="53" spans="1:8" x14ac:dyDescent="0.25">
      <c r="A53" s="3" t="s">
        <v>8</v>
      </c>
      <c r="B53" s="9">
        <v>118</v>
      </c>
      <c r="C53" s="10">
        <v>2705</v>
      </c>
      <c r="D53" s="10">
        <v>33526</v>
      </c>
      <c r="E53" s="10">
        <v>97103</v>
      </c>
    </row>
    <row r="54" spans="1:8" x14ac:dyDescent="0.25">
      <c r="A54" s="3" t="s">
        <v>9</v>
      </c>
      <c r="B54" s="9">
        <v>135</v>
      </c>
      <c r="C54" s="10">
        <v>2860</v>
      </c>
      <c r="D54" s="10">
        <v>34378</v>
      </c>
      <c r="E54" s="10">
        <v>98853</v>
      </c>
    </row>
    <row r="55" spans="1:8" x14ac:dyDescent="0.25">
      <c r="C55" s="1" t="s">
        <v>83</v>
      </c>
    </row>
    <row r="57" spans="1:8" x14ac:dyDescent="0.25">
      <c r="A57" s="49" t="s">
        <v>104</v>
      </c>
      <c r="B57" s="50"/>
      <c r="C57" s="51"/>
      <c r="D57" s="52" t="s">
        <v>92</v>
      </c>
      <c r="E57" s="52" t="s">
        <v>91</v>
      </c>
    </row>
    <row r="58" spans="1:8" x14ac:dyDescent="0.25">
      <c r="A58" s="4" t="s">
        <v>4</v>
      </c>
      <c r="B58" s="53" t="s">
        <v>5</v>
      </c>
      <c r="C58" s="53"/>
      <c r="D58" s="53"/>
      <c r="E58" s="53"/>
    </row>
    <row r="59" spans="1:8" x14ac:dyDescent="0.25">
      <c r="A59" s="3" t="s">
        <v>6</v>
      </c>
      <c r="B59" s="45">
        <v>1000</v>
      </c>
      <c r="C59" s="45">
        <v>3000</v>
      </c>
      <c r="D59" s="8">
        <v>7000</v>
      </c>
      <c r="E59" s="8">
        <v>10000</v>
      </c>
    </row>
    <row r="60" spans="1:8" x14ac:dyDescent="0.25">
      <c r="A60" s="54" t="s">
        <v>11</v>
      </c>
      <c r="B60" s="54"/>
      <c r="C60" s="54"/>
      <c r="D60" s="54"/>
      <c r="E60" s="54"/>
    </row>
    <row r="61" spans="1:8" x14ac:dyDescent="0.25">
      <c r="A61" s="3" t="s">
        <v>7</v>
      </c>
      <c r="B61" s="9">
        <v>20</v>
      </c>
      <c r="C61" s="10">
        <v>133</v>
      </c>
      <c r="D61" s="10">
        <v>546</v>
      </c>
      <c r="E61" s="10">
        <v>987</v>
      </c>
    </row>
    <row r="62" spans="1:8" x14ac:dyDescent="0.25">
      <c r="A62" s="3" t="s">
        <v>8</v>
      </c>
      <c r="B62" s="9">
        <v>58</v>
      </c>
      <c r="C62" s="10">
        <v>667</v>
      </c>
      <c r="D62" s="10">
        <v>5417</v>
      </c>
      <c r="E62" s="10">
        <v>14294</v>
      </c>
    </row>
    <row r="63" spans="1:8" x14ac:dyDescent="0.25">
      <c r="A63" s="3" t="s">
        <v>9</v>
      </c>
      <c r="B63" s="9">
        <v>79</v>
      </c>
      <c r="C63" s="10">
        <v>800</v>
      </c>
      <c r="D63" s="10">
        <v>5963</v>
      </c>
      <c r="E63" s="10">
        <v>15281</v>
      </c>
    </row>
    <row r="64" spans="1:8" x14ac:dyDescent="0.25">
      <c r="A64" s="54" t="s">
        <v>12</v>
      </c>
      <c r="B64" s="54"/>
      <c r="C64" s="54"/>
      <c r="D64" s="54"/>
      <c r="E64" s="54"/>
    </row>
    <row r="65" spans="1:6" x14ac:dyDescent="0.25">
      <c r="A65" s="3" t="s">
        <v>7</v>
      </c>
      <c r="B65" s="9">
        <v>10</v>
      </c>
      <c r="C65" s="10">
        <v>89</v>
      </c>
      <c r="D65" s="10">
        <v>491</v>
      </c>
      <c r="E65" s="10">
        <v>1019</v>
      </c>
    </row>
    <row r="66" spans="1:6" x14ac:dyDescent="0.25">
      <c r="A66" s="3" t="s">
        <v>8</v>
      </c>
      <c r="B66" s="9">
        <v>59</v>
      </c>
      <c r="C66" s="10">
        <v>1630</v>
      </c>
      <c r="D66" s="10">
        <v>19964</v>
      </c>
      <c r="E66" s="10">
        <v>58818</v>
      </c>
    </row>
    <row r="67" spans="1:6" x14ac:dyDescent="0.25">
      <c r="A67" s="3" t="s">
        <v>9</v>
      </c>
      <c r="B67" s="9">
        <v>70</v>
      </c>
      <c r="C67" s="10">
        <v>1727</v>
      </c>
      <c r="D67" s="10">
        <v>20456</v>
      </c>
      <c r="E67" s="10">
        <v>59837</v>
      </c>
    </row>
    <row r="68" spans="1:6" x14ac:dyDescent="0.25">
      <c r="C68" s="1" t="s">
        <v>105</v>
      </c>
    </row>
    <row r="70" spans="1:6" x14ac:dyDescent="0.25">
      <c r="A70" s="49" t="s">
        <v>109</v>
      </c>
      <c r="B70" s="50"/>
      <c r="C70" s="51"/>
      <c r="D70" s="52" t="s">
        <v>92</v>
      </c>
      <c r="E70" s="52" t="s">
        <v>91</v>
      </c>
    </row>
    <row r="71" spans="1:6" x14ac:dyDescent="0.25">
      <c r="A71" s="4" t="s">
        <v>4</v>
      </c>
      <c r="B71" s="53" t="s">
        <v>5</v>
      </c>
      <c r="C71" s="53"/>
      <c r="D71" s="53"/>
      <c r="E71" s="53"/>
    </row>
    <row r="72" spans="1:6" x14ac:dyDescent="0.25">
      <c r="A72" s="54" t="s">
        <v>110</v>
      </c>
      <c r="B72" s="54"/>
      <c r="C72" s="54"/>
      <c r="D72" s="54"/>
      <c r="E72" s="54"/>
    </row>
    <row r="73" spans="1:6" x14ac:dyDescent="0.25">
      <c r="A73" s="3" t="s">
        <v>6</v>
      </c>
      <c r="B73" s="47">
        <v>1000</v>
      </c>
      <c r="C73" s="47">
        <v>3000</v>
      </c>
      <c r="D73" s="8">
        <v>7000</v>
      </c>
      <c r="E73" s="8">
        <v>10000</v>
      </c>
    </row>
    <row r="74" spans="1:6" x14ac:dyDescent="0.25">
      <c r="A74" s="3" t="s">
        <v>7</v>
      </c>
      <c r="B74" s="9"/>
      <c r="C74" s="10">
        <v>107</v>
      </c>
      <c r="D74" s="10"/>
      <c r="E74" s="10">
        <v>1349</v>
      </c>
    </row>
    <row r="75" spans="1:6" x14ac:dyDescent="0.25">
      <c r="A75" s="3" t="s">
        <v>8</v>
      </c>
      <c r="B75" s="9"/>
      <c r="C75" s="10">
        <v>598</v>
      </c>
      <c r="D75" s="10"/>
      <c r="E75" s="10">
        <v>12676</v>
      </c>
    </row>
    <row r="76" spans="1:6" x14ac:dyDescent="0.25">
      <c r="A76" s="3" t="s">
        <v>9</v>
      </c>
      <c r="B76" s="9"/>
      <c r="C76" s="10">
        <v>720</v>
      </c>
      <c r="D76" s="10"/>
      <c r="E76" s="10">
        <v>14026</v>
      </c>
    </row>
    <row r="77" spans="1:6" x14ac:dyDescent="0.25">
      <c r="A77" s="54" t="s">
        <v>111</v>
      </c>
      <c r="B77" s="54"/>
      <c r="C77" s="54"/>
      <c r="D77" s="54"/>
      <c r="E77" s="54"/>
    </row>
    <row r="78" spans="1:6" x14ac:dyDescent="0.25">
      <c r="A78" s="3" t="s">
        <v>6</v>
      </c>
      <c r="B78" s="48">
        <v>3000</v>
      </c>
      <c r="C78" s="8">
        <v>5000</v>
      </c>
      <c r="D78" s="8">
        <v>7000</v>
      </c>
      <c r="E78" s="8">
        <v>10000</v>
      </c>
    </row>
    <row r="79" spans="1:6" x14ac:dyDescent="0.25">
      <c r="A79" s="3" t="s">
        <v>7</v>
      </c>
      <c r="B79" s="9">
        <v>792</v>
      </c>
      <c r="C79" s="10">
        <v>2170</v>
      </c>
      <c r="D79" s="10">
        <v>4256</v>
      </c>
      <c r="E79" s="10">
        <v>8662</v>
      </c>
      <c r="F79" s="1" t="s">
        <v>115</v>
      </c>
    </row>
    <row r="80" spans="1:6" x14ac:dyDescent="0.25">
      <c r="A80" s="3" t="s">
        <v>8</v>
      </c>
      <c r="B80" s="9">
        <v>349</v>
      </c>
      <c r="C80" s="10">
        <v>1505</v>
      </c>
      <c r="D80" s="10">
        <v>3928</v>
      </c>
      <c r="E80" s="10">
        <v>11608</v>
      </c>
    </row>
    <row r="81" spans="1:5" x14ac:dyDescent="0.25">
      <c r="A81" s="3" t="s">
        <v>9</v>
      </c>
      <c r="B81" s="9">
        <v>1141</v>
      </c>
      <c r="C81" s="10">
        <v>3677</v>
      </c>
      <c r="D81" s="10">
        <v>8186</v>
      </c>
      <c r="E81" s="10">
        <v>20279</v>
      </c>
    </row>
  </sheetData>
  <mergeCells count="32">
    <mergeCell ref="A70:C70"/>
    <mergeCell ref="D70:E70"/>
    <mergeCell ref="B71:E71"/>
    <mergeCell ref="A72:E72"/>
    <mergeCell ref="A77:E77"/>
    <mergeCell ref="H24:I24"/>
    <mergeCell ref="G5:H8"/>
    <mergeCell ref="B42:E42"/>
    <mergeCell ref="B32:E32"/>
    <mergeCell ref="A34:E34"/>
    <mergeCell ref="A38:E38"/>
    <mergeCell ref="B6:E6"/>
    <mergeCell ref="A12:E12"/>
    <mergeCell ref="A8:E8"/>
    <mergeCell ref="A5:E5"/>
    <mergeCell ref="D13:D15"/>
    <mergeCell ref="A18:E18"/>
    <mergeCell ref="B19:E19"/>
    <mergeCell ref="A21:E21"/>
    <mergeCell ref="A25:E25"/>
    <mergeCell ref="B45:E45"/>
    <mergeCell ref="A47:E47"/>
    <mergeCell ref="A51:E51"/>
    <mergeCell ref="D44:E44"/>
    <mergeCell ref="D31:E31"/>
    <mergeCell ref="A44:C44"/>
    <mergeCell ref="A31:C31"/>
    <mergeCell ref="A57:C57"/>
    <mergeCell ref="D57:E57"/>
    <mergeCell ref="B58:E58"/>
    <mergeCell ref="A60:E60"/>
    <mergeCell ref="A64:E64"/>
  </mergeCells>
  <phoneticPr fontId="8" type="noConversion"/>
  <hyperlinks>
    <hyperlink ref="E31" location="Графики!A1" display="Соотв. графики" xr:uid="{B555E463-05C4-4E05-8D89-54A4D9AA7A6E}"/>
    <hyperlink ref="E44" location="Графики!A24" display="Соотв. графики" xr:uid="{E92A20FD-A4FF-4EDF-8463-75004668F010}"/>
    <hyperlink ref="E57" location="Графики!A24" display="Соотв. графики" xr:uid="{39731055-7576-4263-867D-94DEBEDAB40D}"/>
    <hyperlink ref="D57:E57" location="Графики!A56" display="Соотв. Графики" xr:uid="{40D6EEEA-2F7B-4D18-9EDE-A0B9545B3F89}"/>
    <hyperlink ref="E70" location="Графики!A24" display="Соотв. графики" xr:uid="{D83C8A48-02FA-4F55-9CB4-F3C5D5ED610A}"/>
    <hyperlink ref="D70:E70" location="Графики!A88" display="Соотв. Графики" xr:uid="{A2E37FF9-0405-4C2F-80D6-59E730CF8A04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62"/>
  <sheetViews>
    <sheetView tabSelected="1" topLeftCell="A115" zoomScale="90" zoomScaleNormal="90" workbookViewId="0">
      <selection activeCell="E128" sqref="E128"/>
    </sheetView>
  </sheetViews>
  <sheetFormatPr defaultRowHeight="21.6" customHeight="1" x14ac:dyDescent="0.2"/>
  <cols>
    <col min="1" max="1" width="15.28515625" style="26" customWidth="1"/>
    <col min="2" max="2" width="28" style="26" customWidth="1"/>
    <col min="3" max="3" width="23.5703125" style="26" customWidth="1"/>
    <col min="4" max="5" width="21.42578125" style="26" customWidth="1"/>
    <col min="6" max="20" width="14.28515625" style="26" customWidth="1"/>
    <col min="21" max="29" width="9.7109375" style="26" customWidth="1"/>
    <col min="30" max="16384" width="9.140625" style="26"/>
  </cols>
  <sheetData>
    <row r="1" spans="1:26" ht="21.6" customHeight="1" x14ac:dyDescent="0.25">
      <c r="A1" s="61" t="s">
        <v>84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52" t="s">
        <v>90</v>
      </c>
      <c r="N1" s="52"/>
      <c r="O1" s="36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21.6" customHeight="1" x14ac:dyDescent="0.25">
      <c r="A2" s="79" t="s">
        <v>85</v>
      </c>
      <c r="B2" s="74" t="s">
        <v>78</v>
      </c>
      <c r="C2" s="75"/>
      <c r="D2" s="76"/>
      <c r="E2" s="31"/>
      <c r="F2" s="31"/>
      <c r="G2" s="31"/>
      <c r="H2" s="31"/>
      <c r="I2" s="31"/>
      <c r="J2" s="31"/>
      <c r="K2" s="31"/>
      <c r="L2" s="31"/>
      <c r="M2" s="31"/>
      <c r="N2" s="34"/>
      <c r="O2" s="37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21.6" customHeight="1" x14ac:dyDescent="0.25">
      <c r="A3" s="79"/>
      <c r="B3" s="29" t="s">
        <v>77</v>
      </c>
      <c r="C3" s="25" t="s">
        <v>79</v>
      </c>
      <c r="D3" s="25" t="s">
        <v>80</v>
      </c>
      <c r="E3" s="31"/>
      <c r="F3" s="31"/>
      <c r="G3" s="31"/>
      <c r="H3" s="31"/>
      <c r="I3" s="31"/>
      <c r="J3" s="31"/>
      <c r="K3" s="31"/>
      <c r="L3" s="31"/>
      <c r="M3" s="31"/>
      <c r="N3" s="34"/>
      <c r="O3" s="37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21.6" customHeight="1" x14ac:dyDescent="0.25">
      <c r="A4" s="79"/>
      <c r="B4" s="15">
        <v>1</v>
      </c>
      <c r="C4" s="24">
        <v>40525</v>
      </c>
      <c r="D4" s="40">
        <v>8737</v>
      </c>
      <c r="E4" s="31"/>
      <c r="F4" s="31"/>
      <c r="G4" s="31"/>
      <c r="H4" s="31"/>
      <c r="I4" s="31"/>
      <c r="J4" s="31"/>
      <c r="K4" s="31"/>
      <c r="L4" s="31"/>
      <c r="M4" s="31"/>
      <c r="N4" s="34"/>
      <c r="O4" s="37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21.6" customHeight="1" x14ac:dyDescent="0.25">
      <c r="A5" s="79"/>
      <c r="B5" s="15">
        <v>2</v>
      </c>
      <c r="C5" s="24">
        <v>40933</v>
      </c>
      <c r="D5" s="40">
        <v>8116</v>
      </c>
      <c r="E5" s="31"/>
      <c r="F5" s="31"/>
      <c r="G5" s="31"/>
      <c r="H5" s="31"/>
      <c r="I5" s="31"/>
      <c r="J5" s="31"/>
      <c r="K5" s="31"/>
      <c r="L5" s="31"/>
      <c r="M5" s="31"/>
      <c r="N5" s="34"/>
      <c r="O5" s="37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21.6" customHeight="1" x14ac:dyDescent="0.25">
      <c r="A6" s="79"/>
      <c r="B6" s="15">
        <v>4</v>
      </c>
      <c r="C6" s="24">
        <v>34657</v>
      </c>
      <c r="D6" s="40">
        <v>7387</v>
      </c>
      <c r="E6" s="31"/>
      <c r="F6" s="31"/>
      <c r="G6" s="31"/>
      <c r="H6" s="31"/>
      <c r="I6" s="31"/>
      <c r="J6" s="31"/>
      <c r="K6" s="31"/>
      <c r="L6" s="31"/>
      <c r="M6" s="31"/>
      <c r="N6" s="34"/>
      <c r="O6" s="38"/>
    </row>
    <row r="7" spans="1:26" ht="21.6" customHeight="1" x14ac:dyDescent="0.25">
      <c r="A7" s="79"/>
      <c r="B7" s="15">
        <v>6</v>
      </c>
      <c r="C7" s="24">
        <v>38071</v>
      </c>
      <c r="D7" s="40">
        <v>7472</v>
      </c>
      <c r="E7" s="31"/>
      <c r="F7" s="31"/>
      <c r="G7" s="31"/>
      <c r="H7" s="31"/>
      <c r="I7" s="31"/>
      <c r="J7" s="31"/>
      <c r="K7" s="31"/>
      <c r="L7" s="31"/>
      <c r="M7" s="31"/>
      <c r="N7" s="34"/>
      <c r="O7" s="38"/>
    </row>
    <row r="8" spans="1:26" ht="21.6" customHeight="1" x14ac:dyDescent="0.25">
      <c r="A8" s="79"/>
      <c r="B8" s="15">
        <v>8</v>
      </c>
      <c r="C8" s="24">
        <v>37594</v>
      </c>
      <c r="D8" s="40">
        <v>7389</v>
      </c>
      <c r="E8" s="31"/>
      <c r="F8" s="31"/>
      <c r="G8" s="31"/>
      <c r="H8" s="31"/>
      <c r="I8" s="31"/>
      <c r="J8" s="31"/>
      <c r="K8" s="31"/>
      <c r="L8" s="31"/>
      <c r="M8" s="31"/>
      <c r="N8" s="34"/>
      <c r="O8" s="38"/>
    </row>
    <row r="9" spans="1:26" ht="21.6" customHeight="1" x14ac:dyDescent="0.25">
      <c r="A9" s="79"/>
      <c r="B9" s="15">
        <v>10</v>
      </c>
      <c r="C9" s="24">
        <v>36931</v>
      </c>
      <c r="D9" s="40">
        <v>8155</v>
      </c>
      <c r="E9" s="31"/>
      <c r="F9" s="31"/>
      <c r="G9" s="31"/>
      <c r="H9" s="31"/>
      <c r="I9" s="31"/>
      <c r="J9" s="31"/>
      <c r="K9" s="31"/>
      <c r="L9" s="31"/>
      <c r="M9" s="31"/>
      <c r="N9" s="34"/>
      <c r="O9" s="38"/>
    </row>
    <row r="10" spans="1:26" ht="21.6" customHeight="1" x14ac:dyDescent="0.25">
      <c r="A10" s="79"/>
      <c r="B10" s="15">
        <v>12</v>
      </c>
      <c r="C10" s="24">
        <v>40896</v>
      </c>
      <c r="D10" s="40">
        <v>8411</v>
      </c>
      <c r="E10" s="31"/>
      <c r="F10" s="31"/>
      <c r="G10" s="31"/>
      <c r="H10" s="31"/>
      <c r="I10" s="31"/>
      <c r="J10" s="31"/>
      <c r="K10" s="31"/>
      <c r="L10" s="31"/>
      <c r="M10" s="31"/>
      <c r="N10" s="34"/>
      <c r="O10" s="38"/>
    </row>
    <row r="11" spans="1:26" ht="21.6" customHeight="1" x14ac:dyDescent="0.25">
      <c r="A11" s="79"/>
      <c r="B11" s="15">
        <v>16</v>
      </c>
      <c r="C11" s="24">
        <v>39364</v>
      </c>
      <c r="D11" s="40">
        <v>7844</v>
      </c>
      <c r="E11" s="31"/>
      <c r="F11" s="31"/>
      <c r="G11" s="31"/>
      <c r="H11" s="31"/>
      <c r="I11" s="31"/>
      <c r="J11" s="31"/>
      <c r="K11" s="31"/>
      <c r="L11" s="31"/>
      <c r="M11" s="31"/>
      <c r="N11" s="34"/>
      <c r="O11" s="38"/>
      <c r="P11" s="27"/>
      <c r="Q11" s="27"/>
    </row>
    <row r="12" spans="1:26" ht="21.6" customHeight="1" x14ac:dyDescent="0.25">
      <c r="A12" s="79"/>
      <c r="B12" s="33" t="s">
        <v>86</v>
      </c>
      <c r="C12" s="77" t="s">
        <v>81</v>
      </c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8"/>
      <c r="O12" s="39"/>
      <c r="P12" s="23"/>
      <c r="Q12" s="23"/>
    </row>
    <row r="13" spans="1:26" ht="21.6" customHeight="1" x14ac:dyDescent="0.25">
      <c r="A13" s="79" t="s">
        <v>87</v>
      </c>
      <c r="B13" s="74" t="s">
        <v>78</v>
      </c>
      <c r="C13" s="75"/>
      <c r="D13" s="76"/>
      <c r="E13" s="32"/>
      <c r="F13" s="31"/>
      <c r="G13" s="31"/>
      <c r="H13" s="31"/>
      <c r="I13" s="31"/>
      <c r="J13" s="31"/>
      <c r="K13" s="31"/>
      <c r="L13" s="31"/>
      <c r="M13" s="31"/>
      <c r="N13" s="34"/>
      <c r="O13" s="39"/>
      <c r="P13" s="23"/>
      <c r="Q13" s="23"/>
    </row>
    <row r="14" spans="1:26" ht="21.6" customHeight="1" x14ac:dyDescent="0.25">
      <c r="A14" s="79"/>
      <c r="B14" s="13" t="s">
        <v>77</v>
      </c>
      <c r="C14" s="25" t="s">
        <v>79</v>
      </c>
      <c r="D14" s="25" t="s">
        <v>80</v>
      </c>
      <c r="E14" s="32"/>
      <c r="F14" s="31"/>
      <c r="G14" s="31"/>
      <c r="H14" s="31"/>
      <c r="I14" s="31"/>
      <c r="J14" s="31"/>
      <c r="K14" s="31"/>
      <c r="L14" s="31"/>
      <c r="M14" s="31"/>
      <c r="N14" s="34"/>
      <c r="O14" s="39"/>
      <c r="P14" s="23"/>
      <c r="Q14" s="23"/>
    </row>
    <row r="15" spans="1:26" ht="21.6" customHeight="1" x14ac:dyDescent="0.25">
      <c r="A15" s="79"/>
      <c r="B15" s="15">
        <v>1</v>
      </c>
      <c r="C15" s="40">
        <v>21978</v>
      </c>
      <c r="D15" s="40">
        <v>4557</v>
      </c>
      <c r="E15" s="31"/>
      <c r="F15" s="31"/>
      <c r="G15" s="31"/>
      <c r="H15" s="31"/>
      <c r="I15" s="31"/>
      <c r="J15" s="31"/>
      <c r="K15" s="31"/>
      <c r="L15" s="31"/>
      <c r="M15" s="31"/>
      <c r="N15" s="34"/>
      <c r="O15" s="38"/>
      <c r="P15" s="27"/>
      <c r="Q15" s="27"/>
    </row>
    <row r="16" spans="1:26" ht="21.6" customHeight="1" x14ac:dyDescent="0.25">
      <c r="A16" s="79"/>
      <c r="B16" s="15">
        <v>2</v>
      </c>
      <c r="C16" s="40">
        <v>18990</v>
      </c>
      <c r="D16" s="40">
        <v>3948</v>
      </c>
      <c r="E16" s="31"/>
      <c r="F16" s="31"/>
      <c r="G16" s="31"/>
      <c r="H16" s="31"/>
      <c r="I16" s="31"/>
      <c r="J16" s="31"/>
      <c r="K16" s="31"/>
      <c r="L16" s="31"/>
      <c r="M16" s="31"/>
      <c r="N16" s="34"/>
      <c r="O16" s="39"/>
      <c r="P16" s="23"/>
      <c r="Q16" s="23"/>
    </row>
    <row r="17" spans="1:17" ht="21.6" customHeight="1" x14ac:dyDescent="0.25">
      <c r="A17" s="79"/>
      <c r="B17" s="15">
        <v>4</v>
      </c>
      <c r="C17" s="40">
        <v>18915</v>
      </c>
      <c r="D17" s="40">
        <v>3448</v>
      </c>
      <c r="E17" s="31"/>
      <c r="F17" s="31"/>
      <c r="G17" s="31"/>
      <c r="H17" s="31"/>
      <c r="I17" s="31"/>
      <c r="J17" s="31"/>
      <c r="K17" s="31"/>
      <c r="L17" s="31"/>
      <c r="M17" s="31"/>
      <c r="N17" s="34"/>
      <c r="O17" s="39"/>
      <c r="P17" s="23"/>
      <c r="Q17" s="23"/>
    </row>
    <row r="18" spans="1:17" ht="21.6" customHeight="1" x14ac:dyDescent="0.25">
      <c r="A18" s="79"/>
      <c r="B18" s="15">
        <v>6</v>
      </c>
      <c r="C18" s="40">
        <v>19263</v>
      </c>
      <c r="D18" s="40">
        <v>3554</v>
      </c>
      <c r="E18" s="31"/>
      <c r="F18" s="31"/>
      <c r="G18" s="31"/>
      <c r="H18" s="31"/>
      <c r="I18" s="31"/>
      <c r="J18" s="31"/>
      <c r="K18" s="31"/>
      <c r="L18" s="31"/>
      <c r="M18" s="31"/>
      <c r="N18" s="34"/>
      <c r="O18" s="39"/>
      <c r="P18" s="23"/>
      <c r="Q18" s="23"/>
    </row>
    <row r="19" spans="1:17" ht="21.6" customHeight="1" x14ac:dyDescent="0.25">
      <c r="A19" s="79"/>
      <c r="B19" s="15">
        <v>8</v>
      </c>
      <c r="C19" s="24">
        <v>19123</v>
      </c>
      <c r="D19" s="40">
        <v>3538</v>
      </c>
      <c r="E19" s="31"/>
      <c r="F19" s="31"/>
      <c r="G19" s="31"/>
      <c r="H19" s="31"/>
      <c r="I19" s="31"/>
      <c r="J19" s="31"/>
      <c r="K19" s="31"/>
      <c r="L19" s="31"/>
      <c r="M19" s="31"/>
      <c r="N19" s="34"/>
      <c r="O19" s="38"/>
    </row>
    <row r="20" spans="1:17" ht="21.6" customHeight="1" x14ac:dyDescent="0.25">
      <c r="A20" s="79"/>
      <c r="B20" s="15">
        <v>10</v>
      </c>
      <c r="C20" s="24">
        <v>19536</v>
      </c>
      <c r="D20" s="40">
        <v>3696</v>
      </c>
      <c r="E20" s="31"/>
      <c r="F20" s="31"/>
      <c r="G20" s="31"/>
      <c r="H20" s="31"/>
      <c r="I20" s="31"/>
      <c r="J20" s="31"/>
      <c r="K20" s="31"/>
      <c r="L20" s="31"/>
      <c r="M20" s="31"/>
      <c r="N20" s="34"/>
      <c r="O20" s="38"/>
    </row>
    <row r="21" spans="1:17" ht="21.6" customHeight="1" x14ac:dyDescent="0.25">
      <c r="A21" s="79"/>
      <c r="B21" s="15">
        <v>12</v>
      </c>
      <c r="C21" s="24">
        <v>20535</v>
      </c>
      <c r="D21" s="40">
        <v>4272</v>
      </c>
      <c r="E21" s="31"/>
      <c r="F21" s="31"/>
      <c r="G21" s="31"/>
      <c r="H21" s="31"/>
      <c r="I21" s="31"/>
      <c r="J21" s="31"/>
      <c r="K21" s="31"/>
      <c r="L21" s="31"/>
      <c r="M21" s="31"/>
      <c r="N21" s="34"/>
      <c r="O21" s="38"/>
    </row>
    <row r="22" spans="1:17" ht="21.6" customHeight="1" x14ac:dyDescent="0.2">
      <c r="A22" s="79"/>
      <c r="B22" s="80" t="s">
        <v>86</v>
      </c>
      <c r="C22" s="81" t="s">
        <v>88</v>
      </c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2"/>
      <c r="O22" s="38"/>
    </row>
    <row r="23" spans="1:17" ht="21.6" customHeight="1" x14ac:dyDescent="0.2">
      <c r="A23" s="79"/>
      <c r="B23" s="80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2"/>
      <c r="O23" s="38"/>
    </row>
    <row r="24" spans="1:17" ht="21.6" customHeight="1" x14ac:dyDescent="0.25">
      <c r="A24" s="61" t="s">
        <v>89</v>
      </c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52" t="s">
        <v>90</v>
      </c>
      <c r="N24" s="52"/>
      <c r="O24" s="38"/>
    </row>
    <row r="25" spans="1:17" ht="21.6" customHeight="1" x14ac:dyDescent="0.25">
      <c r="A25" s="65" t="s">
        <v>85</v>
      </c>
      <c r="B25" s="74" t="s">
        <v>78</v>
      </c>
      <c r="C25" s="75"/>
      <c r="D25" s="76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27"/>
    </row>
    <row r="26" spans="1:17" ht="21.6" customHeight="1" x14ac:dyDescent="0.25">
      <c r="A26" s="66"/>
      <c r="B26" s="42" t="s">
        <v>77</v>
      </c>
      <c r="C26" s="25" t="s">
        <v>79</v>
      </c>
      <c r="D26" s="25" t="s">
        <v>80</v>
      </c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27"/>
    </row>
    <row r="27" spans="1:17" ht="21.6" customHeight="1" x14ac:dyDescent="0.25">
      <c r="A27" s="66"/>
      <c r="B27" s="15">
        <v>1</v>
      </c>
      <c r="C27" s="24">
        <v>16385</v>
      </c>
      <c r="D27" s="40">
        <v>3616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27"/>
    </row>
    <row r="28" spans="1:17" ht="21.6" customHeight="1" x14ac:dyDescent="0.25">
      <c r="A28" s="66"/>
      <c r="B28" s="15">
        <v>2</v>
      </c>
      <c r="C28" s="24">
        <v>8982</v>
      </c>
      <c r="D28" s="40">
        <v>2066</v>
      </c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27"/>
    </row>
    <row r="29" spans="1:17" ht="21.6" customHeight="1" x14ac:dyDescent="0.25">
      <c r="A29" s="66"/>
      <c r="B29" s="15">
        <v>4</v>
      </c>
      <c r="C29" s="24">
        <v>5710</v>
      </c>
      <c r="D29" s="40">
        <v>1430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27"/>
    </row>
    <row r="30" spans="1:17" ht="21.6" customHeight="1" x14ac:dyDescent="0.25">
      <c r="A30" s="66"/>
      <c r="B30" s="15">
        <v>6</v>
      </c>
      <c r="C30" s="24">
        <v>4847</v>
      </c>
      <c r="D30" s="40">
        <v>1212</v>
      </c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27"/>
    </row>
    <row r="31" spans="1:17" ht="21.6" customHeight="1" x14ac:dyDescent="0.25">
      <c r="A31" s="66"/>
      <c r="B31" s="15">
        <v>8</v>
      </c>
      <c r="C31" s="24">
        <v>4224</v>
      </c>
      <c r="D31" s="40">
        <v>1190</v>
      </c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27"/>
    </row>
    <row r="32" spans="1:17" ht="21.6" customHeight="1" x14ac:dyDescent="0.25">
      <c r="A32" s="66"/>
      <c r="B32" s="15">
        <v>10</v>
      </c>
      <c r="C32" s="24">
        <v>4304</v>
      </c>
      <c r="D32" s="40">
        <v>1280</v>
      </c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27"/>
    </row>
    <row r="33" spans="1:16" ht="21.6" customHeight="1" x14ac:dyDescent="0.25">
      <c r="A33" s="66"/>
      <c r="B33" s="15">
        <v>12</v>
      </c>
      <c r="C33" s="24">
        <v>4260</v>
      </c>
      <c r="D33" s="40">
        <v>1360</v>
      </c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27"/>
    </row>
    <row r="34" spans="1:16" ht="21.6" customHeight="1" x14ac:dyDescent="0.25">
      <c r="A34" s="66"/>
      <c r="B34" s="15">
        <v>16</v>
      </c>
      <c r="C34" s="24">
        <v>4287</v>
      </c>
      <c r="D34" s="40">
        <v>1368</v>
      </c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27"/>
    </row>
    <row r="35" spans="1:16" ht="21.6" customHeight="1" x14ac:dyDescent="0.25">
      <c r="A35" s="66"/>
      <c r="B35" s="74" t="s">
        <v>96</v>
      </c>
      <c r="C35" s="75"/>
      <c r="D35" s="76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27"/>
    </row>
    <row r="36" spans="1:16" ht="21.6" customHeight="1" x14ac:dyDescent="0.25">
      <c r="A36" s="66"/>
      <c r="B36" s="42" t="s">
        <v>77</v>
      </c>
      <c r="C36" s="25" t="s">
        <v>79</v>
      </c>
      <c r="D36" s="25" t="s">
        <v>80</v>
      </c>
      <c r="E36" s="43"/>
      <c r="F36" s="43"/>
      <c r="G36" s="43"/>
      <c r="H36" s="16"/>
      <c r="I36" s="16"/>
      <c r="J36" s="16"/>
      <c r="K36" s="16"/>
      <c r="L36" s="16"/>
      <c r="M36" s="16"/>
      <c r="N36" s="16"/>
      <c r="O36" s="1"/>
      <c r="P36" s="1"/>
    </row>
    <row r="37" spans="1:16" ht="21.6" customHeight="1" x14ac:dyDescent="0.25">
      <c r="A37" s="66"/>
      <c r="B37" s="42">
        <v>1</v>
      </c>
      <c r="C37" s="40">
        <f>C27/C27</f>
        <v>1</v>
      </c>
      <c r="D37" s="40">
        <f>D27/D27</f>
        <v>1</v>
      </c>
      <c r="E37" s="43"/>
      <c r="F37" s="43"/>
      <c r="G37" s="43"/>
      <c r="H37" s="16"/>
      <c r="I37" s="16"/>
      <c r="J37" s="16"/>
      <c r="K37" s="16"/>
      <c r="L37" s="16"/>
      <c r="M37" s="16"/>
      <c r="N37" s="16"/>
      <c r="O37" s="1"/>
      <c r="P37" s="1"/>
    </row>
    <row r="38" spans="1:16" ht="21.6" customHeight="1" x14ac:dyDescent="0.25">
      <c r="A38" s="66"/>
      <c r="B38" s="42">
        <v>2</v>
      </c>
      <c r="C38" s="40">
        <f>C27/C28</f>
        <v>1.8242039634825207</v>
      </c>
      <c r="D38" s="40">
        <f>D27/D28</f>
        <v>1.750242013552759</v>
      </c>
      <c r="E38" s="43"/>
      <c r="F38" s="43"/>
      <c r="G38" s="43"/>
      <c r="H38" s="16"/>
      <c r="I38" s="16"/>
      <c r="J38" s="16"/>
      <c r="K38" s="16"/>
      <c r="L38" s="16"/>
      <c r="M38" s="16"/>
      <c r="N38" s="16"/>
      <c r="O38" s="1"/>
      <c r="P38" s="1"/>
    </row>
    <row r="39" spans="1:16" ht="21.6" customHeight="1" x14ac:dyDescent="0.25">
      <c r="A39" s="66"/>
      <c r="B39" s="42">
        <v>4</v>
      </c>
      <c r="C39" s="40">
        <f>C27/C29</f>
        <v>2.8695271453590192</v>
      </c>
      <c r="D39" s="40">
        <f>D27/D29</f>
        <v>2.5286713286713285</v>
      </c>
      <c r="E39" s="43"/>
      <c r="F39" s="43"/>
      <c r="G39" s="43"/>
      <c r="H39" s="16"/>
      <c r="I39" s="16"/>
      <c r="J39" s="16"/>
      <c r="K39" s="16"/>
      <c r="L39" s="16"/>
      <c r="M39" s="16"/>
      <c r="N39" s="16"/>
      <c r="O39" s="1"/>
      <c r="P39" s="1"/>
    </row>
    <row r="40" spans="1:16" ht="21.6" customHeight="1" x14ac:dyDescent="0.25">
      <c r="A40" s="66"/>
      <c r="B40" s="42">
        <v>6</v>
      </c>
      <c r="C40" s="40">
        <f>C27/C30</f>
        <v>3.3804415102125027</v>
      </c>
      <c r="D40" s="40">
        <f>D27/D30</f>
        <v>2.9834983498349836</v>
      </c>
      <c r="E40" s="43"/>
      <c r="F40" s="43"/>
      <c r="G40" s="43"/>
      <c r="H40" s="16"/>
      <c r="I40" s="16"/>
      <c r="J40" s="16"/>
      <c r="K40" s="16"/>
      <c r="L40" s="16"/>
      <c r="M40" s="16"/>
      <c r="N40" s="16"/>
      <c r="O40" s="1"/>
      <c r="P40" s="1"/>
    </row>
    <row r="41" spans="1:16" ht="21.6" customHeight="1" x14ac:dyDescent="0.25">
      <c r="A41" s="66"/>
      <c r="B41" s="42">
        <v>8</v>
      </c>
      <c r="C41" s="40">
        <f>C27/C31</f>
        <v>3.8790246212121211</v>
      </c>
      <c r="D41" s="40">
        <f>D27/D31</f>
        <v>3.0386554621848738</v>
      </c>
      <c r="E41" s="43"/>
      <c r="F41" s="43"/>
      <c r="G41" s="43"/>
      <c r="H41" s="16"/>
      <c r="I41" s="16"/>
      <c r="J41" s="16"/>
      <c r="K41" s="16"/>
      <c r="L41" s="16"/>
      <c r="M41" s="16"/>
      <c r="N41" s="16"/>
      <c r="O41" s="1"/>
      <c r="P41" s="1"/>
    </row>
    <row r="42" spans="1:16" ht="21.6" customHeight="1" x14ac:dyDescent="0.25">
      <c r="A42" s="66"/>
      <c r="B42" s="42">
        <v>10</v>
      </c>
      <c r="C42" s="40">
        <f>C27/C32</f>
        <v>3.8069237918215615</v>
      </c>
      <c r="D42" s="40">
        <f>D27/D32</f>
        <v>2.8250000000000002</v>
      </c>
      <c r="E42" s="43"/>
      <c r="F42" s="43"/>
      <c r="G42" s="43"/>
      <c r="H42" s="16"/>
      <c r="I42" s="16"/>
      <c r="J42" s="16"/>
      <c r="K42" s="16"/>
      <c r="L42" s="16"/>
      <c r="M42" s="16"/>
      <c r="N42" s="16"/>
      <c r="O42" s="1"/>
      <c r="P42" s="1"/>
    </row>
    <row r="43" spans="1:16" ht="21.6" customHeight="1" x14ac:dyDescent="0.25">
      <c r="A43" s="66"/>
      <c r="B43" s="42">
        <v>12</v>
      </c>
      <c r="C43" s="40">
        <f>C27/C33</f>
        <v>3.846244131455399</v>
      </c>
      <c r="D43" s="40">
        <f>D27/D33</f>
        <v>2.6588235294117646</v>
      </c>
      <c r="E43" s="43"/>
      <c r="F43" s="43"/>
      <c r="G43" s="43"/>
      <c r="H43" s="16"/>
      <c r="I43" s="16"/>
      <c r="J43" s="16"/>
      <c r="K43" s="16"/>
      <c r="L43" s="16"/>
      <c r="M43" s="16"/>
      <c r="N43" s="16"/>
      <c r="O43" s="1"/>
      <c r="P43" s="1"/>
    </row>
    <row r="44" spans="1:16" ht="21.6" customHeight="1" x14ac:dyDescent="0.25">
      <c r="A44" s="66"/>
      <c r="B44" s="42">
        <v>16</v>
      </c>
      <c r="C44" s="40">
        <f>C27/C34</f>
        <v>3.8220200606484722</v>
      </c>
      <c r="D44" s="40">
        <f>D27/D34</f>
        <v>2.6432748538011697</v>
      </c>
      <c r="E44" s="43"/>
      <c r="F44" s="43"/>
      <c r="G44" s="43"/>
      <c r="H44" s="16"/>
      <c r="I44" s="16"/>
      <c r="J44" s="16"/>
      <c r="K44" s="16"/>
      <c r="L44" s="16"/>
      <c r="M44" s="16"/>
      <c r="N44" s="16"/>
      <c r="O44" s="1"/>
      <c r="P44" s="1"/>
    </row>
    <row r="45" spans="1:16" ht="21.6" customHeight="1" x14ac:dyDescent="0.25">
      <c r="A45" s="66"/>
      <c r="B45" s="74" t="s">
        <v>97</v>
      </c>
      <c r="C45" s="75"/>
      <c r="D45" s="76"/>
      <c r="E45" s="43"/>
      <c r="F45" s="43"/>
      <c r="G45" s="43"/>
      <c r="H45" s="16"/>
      <c r="I45" s="16"/>
      <c r="J45" s="16"/>
      <c r="K45" s="16"/>
      <c r="L45" s="16"/>
      <c r="M45" s="16"/>
      <c r="N45" s="16"/>
      <c r="O45" s="1"/>
      <c r="P45" s="1"/>
    </row>
    <row r="46" spans="1:16" ht="21.6" customHeight="1" x14ac:dyDescent="0.25">
      <c r="A46" s="66"/>
      <c r="B46" s="42" t="s">
        <v>77</v>
      </c>
      <c r="C46" s="25" t="s">
        <v>79</v>
      </c>
      <c r="D46" s="25" t="s">
        <v>80</v>
      </c>
      <c r="E46" s="43"/>
      <c r="F46" s="43"/>
      <c r="G46" s="43"/>
      <c r="H46" s="16"/>
      <c r="I46" s="16"/>
      <c r="J46" s="16"/>
      <c r="K46" s="16"/>
      <c r="L46" s="16"/>
      <c r="M46" s="16"/>
      <c r="N46" s="16"/>
      <c r="O46" s="1"/>
      <c r="P46" s="1"/>
    </row>
    <row r="47" spans="1:16" ht="21.6" customHeight="1" x14ac:dyDescent="0.25">
      <c r="A47" s="66"/>
      <c r="B47" s="42">
        <v>1</v>
      </c>
      <c r="C47" s="40">
        <f t="shared" ref="C47:C54" si="0">C37/B37</f>
        <v>1</v>
      </c>
      <c r="D47" s="40">
        <f t="shared" ref="D47:D54" si="1">D37/B37</f>
        <v>1</v>
      </c>
      <c r="E47" s="43"/>
      <c r="F47" s="43"/>
      <c r="G47" s="43"/>
      <c r="H47" s="16"/>
      <c r="I47" s="16"/>
      <c r="J47" s="16"/>
      <c r="K47" s="16"/>
      <c r="L47" s="16"/>
      <c r="M47" s="16"/>
      <c r="N47" s="16"/>
      <c r="O47" s="1"/>
      <c r="P47" s="1"/>
    </row>
    <row r="48" spans="1:16" ht="21.6" customHeight="1" x14ac:dyDescent="0.25">
      <c r="A48" s="66"/>
      <c r="B48" s="42">
        <v>2</v>
      </c>
      <c r="C48" s="40">
        <f t="shared" si="0"/>
        <v>0.91210198174126034</v>
      </c>
      <c r="D48" s="40">
        <f t="shared" si="1"/>
        <v>0.8751210067763795</v>
      </c>
      <c r="E48" s="43"/>
      <c r="F48" s="43"/>
      <c r="G48" s="43"/>
      <c r="H48" s="16"/>
      <c r="I48" s="16"/>
      <c r="J48" s="16"/>
      <c r="K48" s="16"/>
      <c r="L48" s="16"/>
      <c r="M48" s="16"/>
      <c r="N48" s="16"/>
      <c r="O48" s="1"/>
      <c r="P48" s="1"/>
    </row>
    <row r="49" spans="1:16" ht="21.6" customHeight="1" x14ac:dyDescent="0.25">
      <c r="A49" s="66"/>
      <c r="B49" s="42">
        <v>4</v>
      </c>
      <c r="C49" s="40">
        <f t="shared" si="0"/>
        <v>0.7173817863397548</v>
      </c>
      <c r="D49" s="40">
        <f t="shared" si="1"/>
        <v>0.63216783216783212</v>
      </c>
      <c r="E49" s="43"/>
      <c r="F49" s="43"/>
      <c r="G49" s="43"/>
      <c r="H49" s="16"/>
      <c r="I49" s="16"/>
      <c r="J49" s="16"/>
      <c r="K49" s="16"/>
      <c r="L49" s="16"/>
      <c r="M49" s="16"/>
      <c r="N49" s="16"/>
      <c r="O49" s="1"/>
      <c r="P49" s="1"/>
    </row>
    <row r="50" spans="1:16" ht="21.6" customHeight="1" x14ac:dyDescent="0.25">
      <c r="A50" s="66"/>
      <c r="B50" s="42">
        <v>6</v>
      </c>
      <c r="C50" s="40">
        <f t="shared" si="0"/>
        <v>0.56340691836875045</v>
      </c>
      <c r="D50" s="40">
        <f t="shared" si="1"/>
        <v>0.49724972497249725</v>
      </c>
      <c r="E50" s="43"/>
      <c r="F50" s="43"/>
      <c r="G50" s="43"/>
      <c r="H50" s="16"/>
      <c r="I50" s="16"/>
      <c r="J50" s="16"/>
      <c r="K50" s="16"/>
      <c r="L50" s="16"/>
      <c r="M50" s="16"/>
      <c r="N50" s="16"/>
      <c r="O50" s="1"/>
      <c r="P50" s="1"/>
    </row>
    <row r="51" spans="1:16" ht="21.6" customHeight="1" x14ac:dyDescent="0.25">
      <c r="A51" s="66"/>
      <c r="B51" s="42">
        <v>8</v>
      </c>
      <c r="C51" s="40">
        <f t="shared" si="0"/>
        <v>0.48487807765151514</v>
      </c>
      <c r="D51" s="40">
        <f t="shared" si="1"/>
        <v>0.37983193277310923</v>
      </c>
      <c r="E51" s="43"/>
      <c r="F51" s="43"/>
      <c r="G51" s="43"/>
      <c r="H51" s="16"/>
      <c r="I51" s="16"/>
      <c r="J51" s="16"/>
      <c r="K51" s="16"/>
      <c r="L51" s="16"/>
      <c r="M51" s="16"/>
      <c r="N51" s="16"/>
      <c r="O51" s="1"/>
    </row>
    <row r="52" spans="1:16" ht="21.6" customHeight="1" x14ac:dyDescent="0.25">
      <c r="A52" s="66"/>
      <c r="B52" s="42">
        <v>10</v>
      </c>
      <c r="C52" s="40">
        <f t="shared" si="0"/>
        <v>0.38069237918215615</v>
      </c>
      <c r="D52" s="40">
        <f t="shared" si="1"/>
        <v>0.28250000000000003</v>
      </c>
      <c r="E52" s="43"/>
      <c r="F52" s="43"/>
      <c r="G52" s="43"/>
      <c r="H52" s="16"/>
      <c r="I52" s="16"/>
      <c r="J52" s="16"/>
      <c r="K52" s="16"/>
      <c r="L52" s="16"/>
      <c r="M52" s="16"/>
      <c r="N52" s="16"/>
      <c r="O52" s="1"/>
    </row>
    <row r="53" spans="1:16" ht="21.6" customHeight="1" x14ac:dyDescent="0.25">
      <c r="A53" s="66"/>
      <c r="B53" s="42">
        <v>12</v>
      </c>
      <c r="C53" s="40">
        <f t="shared" si="0"/>
        <v>0.3205203442879499</v>
      </c>
      <c r="D53" s="40">
        <f t="shared" si="1"/>
        <v>0.22156862745098038</v>
      </c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1"/>
    </row>
    <row r="54" spans="1:16" ht="21.6" customHeight="1" x14ac:dyDescent="0.25">
      <c r="A54" s="66"/>
      <c r="B54" s="42">
        <v>16</v>
      </c>
      <c r="C54" s="40">
        <f t="shared" si="0"/>
        <v>0.23887625379052951</v>
      </c>
      <c r="D54" s="40">
        <f t="shared" si="1"/>
        <v>0.1652046783625731</v>
      </c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1"/>
    </row>
    <row r="55" spans="1:16" ht="21.6" customHeight="1" x14ac:dyDescent="0.25">
      <c r="A55" s="66"/>
      <c r="B55" s="46" t="s">
        <v>86</v>
      </c>
      <c r="C55" s="70" t="s">
        <v>102</v>
      </c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</row>
    <row r="56" spans="1:16" ht="21.6" customHeight="1" x14ac:dyDescent="0.25">
      <c r="A56" s="71" t="s">
        <v>103</v>
      </c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3"/>
      <c r="M56" s="52" t="s">
        <v>90</v>
      </c>
      <c r="N56" s="52"/>
      <c r="O56" s="30"/>
    </row>
    <row r="57" spans="1:16" ht="21.6" customHeight="1" x14ac:dyDescent="0.25">
      <c r="A57" s="65" t="s">
        <v>85</v>
      </c>
      <c r="B57" s="74" t="s">
        <v>78</v>
      </c>
      <c r="C57" s="75"/>
      <c r="D57" s="76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0"/>
    </row>
    <row r="58" spans="1:16" ht="21.6" customHeight="1" x14ac:dyDescent="0.25">
      <c r="A58" s="66"/>
      <c r="B58" s="42" t="s">
        <v>77</v>
      </c>
      <c r="C58" s="25" t="s">
        <v>79</v>
      </c>
      <c r="D58" s="25" t="s">
        <v>80</v>
      </c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0"/>
    </row>
    <row r="59" spans="1:16" ht="21.6" customHeight="1" x14ac:dyDescent="0.25">
      <c r="A59" s="66"/>
      <c r="B59" s="15">
        <v>1</v>
      </c>
      <c r="C59" s="24">
        <v>5044</v>
      </c>
      <c r="D59" s="40">
        <v>1126</v>
      </c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0"/>
    </row>
    <row r="60" spans="1:16" ht="21.6" customHeight="1" x14ac:dyDescent="0.25">
      <c r="A60" s="66"/>
      <c r="B60" s="15">
        <v>2</v>
      </c>
      <c r="C60" s="24">
        <v>3946</v>
      </c>
      <c r="D60" s="40">
        <v>853</v>
      </c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0"/>
    </row>
    <row r="61" spans="1:16" ht="21.6" customHeight="1" x14ac:dyDescent="0.25">
      <c r="A61" s="66"/>
      <c r="B61" s="15">
        <v>4</v>
      </c>
      <c r="C61" s="24">
        <v>2667</v>
      </c>
      <c r="D61" s="40">
        <v>702</v>
      </c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0"/>
    </row>
    <row r="62" spans="1:16" ht="21.6" customHeight="1" x14ac:dyDescent="0.25">
      <c r="A62" s="66"/>
      <c r="B62" s="15">
        <v>6</v>
      </c>
      <c r="C62" s="24">
        <v>2931</v>
      </c>
      <c r="D62" s="40">
        <v>832</v>
      </c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0"/>
    </row>
    <row r="63" spans="1:16" ht="21.6" customHeight="1" x14ac:dyDescent="0.25">
      <c r="A63" s="66"/>
      <c r="B63" s="15">
        <v>8</v>
      </c>
      <c r="C63" s="24">
        <v>2774</v>
      </c>
      <c r="D63" s="40">
        <v>816</v>
      </c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0"/>
    </row>
    <row r="64" spans="1:16" ht="21.6" customHeight="1" x14ac:dyDescent="0.25">
      <c r="A64" s="66"/>
      <c r="B64" s="15">
        <v>10</v>
      </c>
      <c r="C64" s="24">
        <v>2866</v>
      </c>
      <c r="D64" s="40">
        <v>844</v>
      </c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0"/>
    </row>
    <row r="65" spans="1:15" ht="21.6" customHeight="1" x14ac:dyDescent="0.25">
      <c r="A65" s="66"/>
      <c r="B65" s="15">
        <v>12</v>
      </c>
      <c r="C65" s="24">
        <v>2773</v>
      </c>
      <c r="D65" s="40">
        <v>882</v>
      </c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0"/>
    </row>
    <row r="66" spans="1:15" ht="21.6" customHeight="1" x14ac:dyDescent="0.25">
      <c r="A66" s="66"/>
      <c r="B66" s="15">
        <v>16</v>
      </c>
      <c r="C66" s="24">
        <v>2706</v>
      </c>
      <c r="D66" s="40">
        <v>911</v>
      </c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0"/>
    </row>
    <row r="67" spans="1:15" ht="21.6" customHeight="1" x14ac:dyDescent="0.25">
      <c r="A67" s="66"/>
      <c r="B67" s="74" t="s">
        <v>96</v>
      </c>
      <c r="C67" s="75"/>
      <c r="D67" s="76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0"/>
    </row>
    <row r="68" spans="1:15" ht="21.6" customHeight="1" x14ac:dyDescent="0.25">
      <c r="A68" s="66"/>
      <c r="B68" s="42" t="s">
        <v>77</v>
      </c>
      <c r="C68" s="25" t="s">
        <v>79</v>
      </c>
      <c r="D68" s="25" t="s">
        <v>80</v>
      </c>
      <c r="E68" s="43"/>
      <c r="F68" s="43"/>
      <c r="G68" s="43"/>
      <c r="H68" s="16"/>
      <c r="I68" s="16"/>
      <c r="J68" s="16"/>
      <c r="K68" s="16"/>
      <c r="L68" s="16"/>
      <c r="M68" s="16"/>
      <c r="N68" s="16"/>
      <c r="O68" s="30"/>
    </row>
    <row r="69" spans="1:15" ht="21.6" customHeight="1" x14ac:dyDescent="0.25">
      <c r="A69" s="66"/>
      <c r="B69" s="42">
        <v>1</v>
      </c>
      <c r="C69" s="40">
        <f>C59/C59</f>
        <v>1</v>
      </c>
      <c r="D69" s="40">
        <f>D59/D59</f>
        <v>1</v>
      </c>
      <c r="E69" s="43"/>
      <c r="F69" s="43"/>
      <c r="G69" s="43"/>
      <c r="H69" s="16"/>
      <c r="I69" s="16"/>
      <c r="J69" s="16"/>
      <c r="K69" s="16"/>
      <c r="L69" s="16"/>
      <c r="M69" s="16"/>
      <c r="N69" s="16"/>
      <c r="O69" s="30"/>
    </row>
    <row r="70" spans="1:15" ht="21.6" customHeight="1" x14ac:dyDescent="0.25">
      <c r="A70" s="66"/>
      <c r="B70" s="42">
        <v>2</v>
      </c>
      <c r="C70" s="40">
        <f>C59/C60</f>
        <v>1.2782564622402433</v>
      </c>
      <c r="D70" s="40">
        <f>D59/D60</f>
        <v>1.3200468933177023</v>
      </c>
      <c r="E70" s="43"/>
      <c r="F70" s="43"/>
      <c r="G70" s="43"/>
      <c r="H70" s="16"/>
      <c r="I70" s="16"/>
      <c r="J70" s="16"/>
      <c r="K70" s="16"/>
      <c r="L70" s="16"/>
      <c r="M70" s="16"/>
      <c r="N70" s="16"/>
      <c r="O70" s="30"/>
    </row>
    <row r="71" spans="1:15" ht="21.6" customHeight="1" x14ac:dyDescent="0.25">
      <c r="A71" s="66"/>
      <c r="B71" s="42">
        <v>4</v>
      </c>
      <c r="C71" s="40">
        <f>C59/C61</f>
        <v>1.8912635920509937</v>
      </c>
      <c r="D71" s="40">
        <f>D59/D61</f>
        <v>1.603988603988604</v>
      </c>
      <c r="E71" s="43"/>
      <c r="F71" s="43"/>
      <c r="G71" s="43"/>
      <c r="H71" s="16"/>
      <c r="I71" s="16"/>
      <c r="J71" s="16"/>
      <c r="K71" s="16"/>
      <c r="L71" s="16"/>
      <c r="M71" s="16"/>
      <c r="N71" s="16"/>
      <c r="O71" s="30"/>
    </row>
    <row r="72" spans="1:15" ht="21.6" customHeight="1" x14ac:dyDescent="0.25">
      <c r="A72" s="66"/>
      <c r="B72" s="42">
        <v>6</v>
      </c>
      <c r="C72" s="40">
        <f>C59/C62</f>
        <v>1.7209143636983963</v>
      </c>
      <c r="D72" s="40">
        <f>D59/D62</f>
        <v>1.3533653846153846</v>
      </c>
      <c r="E72" s="43"/>
      <c r="F72" s="43"/>
      <c r="G72" s="43"/>
      <c r="H72" s="16"/>
      <c r="I72" s="16"/>
      <c r="J72" s="16"/>
      <c r="K72" s="16"/>
      <c r="L72" s="16"/>
      <c r="M72" s="16"/>
      <c r="N72" s="16"/>
      <c r="O72" s="30"/>
    </row>
    <row r="73" spans="1:15" ht="21.6" customHeight="1" x14ac:dyDescent="0.25">
      <c r="A73" s="66"/>
      <c r="B73" s="42">
        <v>8</v>
      </c>
      <c r="C73" s="40">
        <f>C59/C63</f>
        <v>1.8183129055515501</v>
      </c>
      <c r="D73" s="40">
        <f>D59/D63</f>
        <v>1.3799019607843137</v>
      </c>
      <c r="E73" s="43"/>
      <c r="F73" s="43"/>
      <c r="G73" s="43"/>
      <c r="H73" s="16"/>
      <c r="I73" s="16"/>
      <c r="J73" s="16"/>
      <c r="K73" s="16"/>
      <c r="L73" s="16"/>
      <c r="M73" s="16"/>
      <c r="N73" s="16"/>
      <c r="O73" s="30"/>
    </row>
    <row r="74" spans="1:15" ht="21.6" customHeight="1" x14ac:dyDescent="0.25">
      <c r="A74" s="66"/>
      <c r="B74" s="42">
        <v>10</v>
      </c>
      <c r="C74" s="40">
        <f>C59/C64</f>
        <v>1.759944173063503</v>
      </c>
      <c r="D74" s="40">
        <f>D59/D64</f>
        <v>1.3341232227488151</v>
      </c>
      <c r="E74" s="43"/>
      <c r="F74" s="43"/>
      <c r="G74" s="43"/>
      <c r="H74" s="16"/>
      <c r="I74" s="16"/>
      <c r="J74" s="16"/>
      <c r="K74" s="16"/>
      <c r="L74" s="16"/>
      <c r="M74" s="16"/>
      <c r="N74" s="16"/>
      <c r="O74" s="30"/>
    </row>
    <row r="75" spans="1:15" ht="21.6" customHeight="1" x14ac:dyDescent="0.25">
      <c r="A75" s="66"/>
      <c r="B75" s="42">
        <v>12</v>
      </c>
      <c r="C75" s="40">
        <f>C59/C65</f>
        <v>1.8189686260367832</v>
      </c>
      <c r="D75" s="40">
        <f>D59/D65</f>
        <v>1.2766439909297052</v>
      </c>
      <c r="E75" s="43"/>
      <c r="F75" s="43"/>
      <c r="G75" s="43"/>
      <c r="H75" s="16"/>
      <c r="I75" s="16"/>
      <c r="J75" s="16"/>
      <c r="K75" s="16"/>
      <c r="L75" s="16"/>
      <c r="M75" s="16"/>
      <c r="N75" s="16"/>
      <c r="O75" s="30"/>
    </row>
    <row r="76" spans="1:15" ht="21.6" customHeight="1" x14ac:dyDescent="0.25">
      <c r="A76" s="66"/>
      <c r="B76" s="42">
        <v>16</v>
      </c>
      <c r="C76" s="40">
        <f>C59/C66</f>
        <v>1.8640059127864006</v>
      </c>
      <c r="D76" s="40">
        <f>D59/D66</f>
        <v>1.2360043907793634</v>
      </c>
      <c r="E76" s="43"/>
      <c r="F76" s="43"/>
      <c r="G76" s="43"/>
      <c r="H76" s="16"/>
      <c r="I76" s="16"/>
      <c r="J76" s="16"/>
      <c r="K76" s="16"/>
      <c r="L76" s="16"/>
      <c r="M76" s="16"/>
      <c r="N76" s="16"/>
      <c r="O76" s="30"/>
    </row>
    <row r="77" spans="1:15" ht="21.6" customHeight="1" x14ac:dyDescent="0.25">
      <c r="A77" s="66"/>
      <c r="B77" s="74" t="s">
        <v>97</v>
      </c>
      <c r="C77" s="75"/>
      <c r="D77" s="76"/>
      <c r="E77" s="43"/>
      <c r="F77" s="43"/>
      <c r="G77" s="43"/>
      <c r="H77" s="16"/>
      <c r="I77" s="16"/>
      <c r="J77" s="16"/>
      <c r="K77" s="16"/>
      <c r="L77" s="16"/>
      <c r="M77" s="16"/>
      <c r="N77" s="16"/>
      <c r="O77" s="30"/>
    </row>
    <row r="78" spans="1:15" ht="21.6" customHeight="1" x14ac:dyDescent="0.25">
      <c r="A78" s="66"/>
      <c r="B78" s="42" t="s">
        <v>77</v>
      </c>
      <c r="C78" s="25" t="s">
        <v>79</v>
      </c>
      <c r="D78" s="25" t="s">
        <v>80</v>
      </c>
      <c r="E78" s="43"/>
      <c r="F78" s="43"/>
      <c r="G78" s="43"/>
      <c r="H78" s="16"/>
      <c r="I78" s="16"/>
      <c r="J78" s="16"/>
      <c r="K78" s="16"/>
      <c r="L78" s="16"/>
      <c r="M78" s="16"/>
      <c r="N78" s="16"/>
      <c r="O78" s="30"/>
    </row>
    <row r="79" spans="1:15" ht="21.6" customHeight="1" x14ac:dyDescent="0.25">
      <c r="A79" s="66"/>
      <c r="B79" s="42">
        <v>1</v>
      </c>
      <c r="C79" s="40">
        <f t="shared" ref="C79:C86" si="2">C69/B69</f>
        <v>1</v>
      </c>
      <c r="D79" s="40">
        <f t="shared" ref="D79:D86" si="3">D69/B69</f>
        <v>1</v>
      </c>
      <c r="E79" s="43"/>
      <c r="F79" s="43"/>
      <c r="G79" s="43"/>
      <c r="H79" s="16"/>
      <c r="I79" s="16"/>
      <c r="J79" s="16"/>
      <c r="K79" s="16"/>
      <c r="L79" s="16"/>
      <c r="M79" s="16"/>
      <c r="N79" s="16"/>
      <c r="O79" s="30"/>
    </row>
    <row r="80" spans="1:15" ht="21.6" customHeight="1" x14ac:dyDescent="0.25">
      <c r="A80" s="66"/>
      <c r="B80" s="42">
        <v>2</v>
      </c>
      <c r="C80" s="40">
        <f t="shared" si="2"/>
        <v>0.63912823112012163</v>
      </c>
      <c r="D80" s="40">
        <f t="shared" si="3"/>
        <v>0.66002344665885115</v>
      </c>
      <c r="E80" s="43"/>
      <c r="F80" s="43"/>
      <c r="G80" s="43"/>
      <c r="H80" s="16"/>
      <c r="I80" s="16"/>
      <c r="J80" s="16"/>
      <c r="K80" s="16"/>
      <c r="L80" s="16"/>
      <c r="M80" s="16"/>
      <c r="N80" s="16"/>
      <c r="O80" s="30"/>
    </row>
    <row r="81" spans="1:20" ht="21.6" customHeight="1" x14ac:dyDescent="0.25">
      <c r="A81" s="66"/>
      <c r="B81" s="42">
        <v>4</v>
      </c>
      <c r="C81" s="40">
        <f t="shared" si="2"/>
        <v>0.47281589801274843</v>
      </c>
      <c r="D81" s="40">
        <f t="shared" si="3"/>
        <v>0.400997150997151</v>
      </c>
      <c r="E81" s="43"/>
      <c r="F81" s="43"/>
      <c r="G81" s="43"/>
      <c r="H81" s="16"/>
      <c r="I81" s="16"/>
      <c r="J81" s="16"/>
      <c r="K81" s="16"/>
      <c r="L81" s="16"/>
      <c r="M81" s="16"/>
      <c r="N81" s="16"/>
      <c r="O81" s="30"/>
    </row>
    <row r="82" spans="1:20" ht="21.6" customHeight="1" x14ac:dyDescent="0.25">
      <c r="A82" s="66"/>
      <c r="B82" s="42">
        <v>6</v>
      </c>
      <c r="C82" s="40">
        <f t="shared" si="2"/>
        <v>0.28681906061639939</v>
      </c>
      <c r="D82" s="40">
        <f t="shared" si="3"/>
        <v>0.22556089743589744</v>
      </c>
      <c r="E82" s="43"/>
      <c r="F82" s="43"/>
      <c r="G82" s="43"/>
      <c r="H82" s="16"/>
      <c r="I82" s="16"/>
      <c r="J82" s="16"/>
      <c r="K82" s="16"/>
      <c r="L82" s="16"/>
      <c r="M82" s="16"/>
      <c r="N82" s="16"/>
      <c r="O82" s="30"/>
    </row>
    <row r="83" spans="1:20" ht="21.6" customHeight="1" x14ac:dyDescent="0.25">
      <c r="A83" s="66"/>
      <c r="B83" s="42">
        <v>8</v>
      </c>
      <c r="C83" s="40">
        <f t="shared" si="2"/>
        <v>0.22728911319394376</v>
      </c>
      <c r="D83" s="40">
        <f t="shared" si="3"/>
        <v>0.17248774509803921</v>
      </c>
      <c r="E83" s="43"/>
      <c r="F83" s="43"/>
      <c r="G83" s="43"/>
      <c r="H83" s="16"/>
      <c r="I83" s="16"/>
      <c r="J83" s="16"/>
      <c r="K83" s="16"/>
      <c r="L83" s="16"/>
      <c r="M83" s="16"/>
      <c r="N83" s="16"/>
      <c r="O83" s="30"/>
    </row>
    <row r="84" spans="1:20" ht="21.6" customHeight="1" x14ac:dyDescent="0.25">
      <c r="A84" s="66"/>
      <c r="B84" s="42">
        <v>10</v>
      </c>
      <c r="C84" s="40">
        <f t="shared" si="2"/>
        <v>0.17599441730635029</v>
      </c>
      <c r="D84" s="40">
        <f t="shared" si="3"/>
        <v>0.13341232227488151</v>
      </c>
      <c r="E84" s="43"/>
      <c r="F84" s="43"/>
      <c r="G84" s="43"/>
      <c r="H84" s="16"/>
      <c r="I84" s="16"/>
      <c r="J84" s="16"/>
      <c r="K84" s="16"/>
      <c r="L84" s="16"/>
      <c r="M84" s="16"/>
      <c r="N84" s="16"/>
      <c r="O84" s="30"/>
    </row>
    <row r="85" spans="1:20" ht="21.6" customHeight="1" x14ac:dyDescent="0.25">
      <c r="A85" s="66"/>
      <c r="B85" s="42">
        <v>12</v>
      </c>
      <c r="C85" s="40">
        <f t="shared" si="2"/>
        <v>0.15158071883639859</v>
      </c>
      <c r="D85" s="40">
        <f t="shared" si="3"/>
        <v>0.10638699924414209</v>
      </c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0"/>
    </row>
    <row r="86" spans="1:20" ht="21.6" customHeight="1" x14ac:dyDescent="0.25">
      <c r="A86" s="66"/>
      <c r="B86" s="42">
        <v>16</v>
      </c>
      <c r="C86" s="40">
        <f t="shared" si="2"/>
        <v>0.11650036954915004</v>
      </c>
      <c r="D86" s="40">
        <f t="shared" si="3"/>
        <v>7.7250274423710213E-2</v>
      </c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0"/>
    </row>
    <row r="87" spans="1:20" ht="21.6" customHeight="1" x14ac:dyDescent="0.25">
      <c r="A87" s="66"/>
      <c r="B87" s="46" t="s">
        <v>86</v>
      </c>
      <c r="C87" s="67" t="s">
        <v>106</v>
      </c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9"/>
    </row>
    <row r="88" spans="1:20" ht="21.6" customHeight="1" x14ac:dyDescent="0.3">
      <c r="A88" s="49" t="s">
        <v>107</v>
      </c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62" t="s">
        <v>113</v>
      </c>
      <c r="P88" s="63"/>
      <c r="Q88" s="63"/>
      <c r="R88" s="63"/>
      <c r="S88" s="63"/>
      <c r="T88" s="64"/>
    </row>
    <row r="89" spans="1:20" ht="21.6" customHeight="1" x14ac:dyDescent="0.25">
      <c r="A89" s="79" t="s">
        <v>85</v>
      </c>
      <c r="B89" s="74" t="s">
        <v>78</v>
      </c>
      <c r="C89" s="75"/>
      <c r="D89" s="75"/>
      <c r="E89" s="76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</row>
    <row r="90" spans="1:20" ht="21.6" customHeight="1" x14ac:dyDescent="0.25">
      <c r="A90" s="79"/>
      <c r="B90" s="42" t="s">
        <v>77</v>
      </c>
      <c r="C90" s="25" t="s">
        <v>80</v>
      </c>
      <c r="D90" s="25" t="s">
        <v>79</v>
      </c>
      <c r="E90" s="25" t="s">
        <v>112</v>
      </c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</row>
    <row r="91" spans="1:20" ht="21.6" customHeight="1" x14ac:dyDescent="0.25">
      <c r="A91" s="79"/>
      <c r="B91" s="15">
        <v>1</v>
      </c>
      <c r="C91" s="40">
        <v>2089</v>
      </c>
      <c r="D91" s="24">
        <v>9285</v>
      </c>
      <c r="E91" s="24">
        <v>70414</v>
      </c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</row>
    <row r="92" spans="1:20" ht="21.6" customHeight="1" x14ac:dyDescent="0.25">
      <c r="A92" s="79"/>
      <c r="B92" s="15">
        <v>2</v>
      </c>
      <c r="C92" s="40">
        <v>1229</v>
      </c>
      <c r="D92" s="24">
        <v>5031</v>
      </c>
      <c r="E92" s="24">
        <v>36735</v>
      </c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</row>
    <row r="93" spans="1:20" ht="21.6" customHeight="1" x14ac:dyDescent="0.25">
      <c r="A93" s="79"/>
      <c r="B93" s="15">
        <v>4</v>
      </c>
      <c r="C93" s="40">
        <v>855</v>
      </c>
      <c r="D93" s="24">
        <v>2572</v>
      </c>
      <c r="E93" s="24">
        <v>22929</v>
      </c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</row>
    <row r="94" spans="1:20" ht="21.6" customHeight="1" x14ac:dyDescent="0.25">
      <c r="A94" s="79"/>
      <c r="B94" s="15">
        <v>6</v>
      </c>
      <c r="C94" s="40">
        <v>650</v>
      </c>
      <c r="D94" s="24">
        <v>2302</v>
      </c>
      <c r="E94" s="24">
        <v>16547</v>
      </c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</row>
    <row r="95" spans="1:20" ht="21.6" customHeight="1" x14ac:dyDescent="0.25">
      <c r="A95" s="79"/>
      <c r="B95" s="15">
        <v>8</v>
      </c>
      <c r="C95" s="40">
        <v>627</v>
      </c>
      <c r="D95" s="24">
        <v>2087</v>
      </c>
      <c r="E95" s="24">
        <v>14979</v>
      </c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</row>
    <row r="96" spans="1:20" ht="21.6" customHeight="1" x14ac:dyDescent="0.25">
      <c r="A96" s="79"/>
      <c r="B96" s="15">
        <v>10</v>
      </c>
      <c r="C96" s="40">
        <v>617</v>
      </c>
      <c r="D96" s="24">
        <v>2010</v>
      </c>
      <c r="E96" s="24">
        <v>13841</v>
      </c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</row>
    <row r="97" spans="1:20" ht="21.6" customHeight="1" x14ac:dyDescent="0.25">
      <c r="A97" s="79"/>
      <c r="B97" s="15">
        <v>12</v>
      </c>
      <c r="C97" s="40">
        <v>598</v>
      </c>
      <c r="D97" s="24">
        <v>1971</v>
      </c>
      <c r="E97" s="24">
        <v>13112</v>
      </c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</row>
    <row r="98" spans="1:20" ht="21.6" customHeight="1" x14ac:dyDescent="0.25">
      <c r="A98" s="79"/>
      <c r="B98" s="15">
        <v>16</v>
      </c>
      <c r="C98" s="40">
        <v>598</v>
      </c>
      <c r="D98" s="24">
        <v>1895</v>
      </c>
      <c r="E98" s="24">
        <v>12676</v>
      </c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</row>
    <row r="99" spans="1:20" ht="21.6" customHeight="1" x14ac:dyDescent="0.25">
      <c r="A99" s="79"/>
      <c r="B99" s="74" t="s">
        <v>96</v>
      </c>
      <c r="C99" s="75"/>
      <c r="D99" s="75"/>
      <c r="E99" s="76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</row>
    <row r="100" spans="1:20" ht="21.6" customHeight="1" x14ac:dyDescent="0.25">
      <c r="A100" s="79"/>
      <c r="B100" s="42" t="s">
        <v>77</v>
      </c>
      <c r="C100" s="25" t="s">
        <v>80</v>
      </c>
      <c r="D100" s="25" t="s">
        <v>79</v>
      </c>
      <c r="E100" s="25" t="s">
        <v>112</v>
      </c>
      <c r="F100" s="43"/>
      <c r="G100" s="16"/>
      <c r="H100" s="16"/>
      <c r="I100" s="16"/>
      <c r="J100" s="43"/>
      <c r="K100" s="43"/>
      <c r="L100" s="43"/>
      <c r="M100" s="16"/>
      <c r="N100" s="16"/>
      <c r="O100" s="43"/>
      <c r="P100" s="43"/>
      <c r="Q100" s="43"/>
      <c r="R100" s="16"/>
      <c r="S100" s="16"/>
      <c r="T100" s="16"/>
    </row>
    <row r="101" spans="1:20" ht="21.6" customHeight="1" x14ac:dyDescent="0.25">
      <c r="A101" s="79"/>
      <c r="B101" s="42">
        <v>1</v>
      </c>
      <c r="C101" s="40">
        <f>C91/C91</f>
        <v>1</v>
      </c>
      <c r="D101" s="40">
        <f>ROUND(D91/D91, 5)</f>
        <v>1</v>
      </c>
      <c r="E101" s="40">
        <f>ROUND(E91/E91, 5)</f>
        <v>1</v>
      </c>
      <c r="F101" s="43"/>
      <c r="G101" s="16"/>
      <c r="H101" s="16"/>
      <c r="I101" s="16"/>
      <c r="J101" s="43"/>
      <c r="K101" s="43"/>
      <c r="L101" s="43"/>
      <c r="M101" s="16"/>
      <c r="N101" s="16"/>
      <c r="O101" s="43"/>
      <c r="P101" s="43"/>
      <c r="Q101" s="43"/>
      <c r="R101" s="16"/>
      <c r="S101" s="16"/>
      <c r="T101" s="16"/>
    </row>
    <row r="102" spans="1:20" ht="21.6" customHeight="1" x14ac:dyDescent="0.25">
      <c r="A102" s="79"/>
      <c r="B102" s="42">
        <v>2</v>
      </c>
      <c r="C102" s="40">
        <f>ROUND(C91/C92,5)</f>
        <v>1.6997599999999999</v>
      </c>
      <c r="D102" s="40">
        <f>ROUND(D91/D92,5)</f>
        <v>1.8455600000000001</v>
      </c>
      <c r="E102" s="40">
        <f>ROUND(E91/E92,5)</f>
        <v>1.9168099999999999</v>
      </c>
      <c r="F102" s="43"/>
      <c r="G102" s="16"/>
      <c r="H102" s="16"/>
      <c r="I102" s="16"/>
      <c r="J102" s="43"/>
      <c r="K102" s="43"/>
      <c r="L102" s="43"/>
      <c r="M102" s="16"/>
      <c r="N102" s="16"/>
      <c r="O102" s="43"/>
      <c r="P102" s="43"/>
      <c r="Q102" s="43"/>
      <c r="R102" s="16"/>
      <c r="S102" s="16"/>
      <c r="T102" s="16"/>
    </row>
    <row r="103" spans="1:20" ht="21.6" customHeight="1" x14ac:dyDescent="0.25">
      <c r="A103" s="79"/>
      <c r="B103" s="42">
        <v>4</v>
      </c>
      <c r="C103" s="40">
        <f>ROUND(C91/C93,5)</f>
        <v>2.4432700000000001</v>
      </c>
      <c r="D103" s="40">
        <f>ROUND(D91/D93,5)</f>
        <v>3.6100300000000001</v>
      </c>
      <c r="E103" s="40">
        <f>ROUND(E91/E93,5)</f>
        <v>3.0709599999999999</v>
      </c>
      <c r="F103" s="43"/>
      <c r="G103" s="16"/>
      <c r="H103" s="16"/>
      <c r="I103" s="16"/>
      <c r="J103" s="43"/>
      <c r="K103" s="43"/>
      <c r="L103" s="43"/>
      <c r="M103" s="16"/>
      <c r="N103" s="16"/>
      <c r="O103" s="43"/>
      <c r="P103" s="43"/>
      <c r="Q103" s="43"/>
      <c r="R103" s="16"/>
      <c r="S103" s="16"/>
      <c r="T103" s="16"/>
    </row>
    <row r="104" spans="1:20" ht="21.6" customHeight="1" x14ac:dyDescent="0.25">
      <c r="A104" s="79"/>
      <c r="B104" s="42">
        <v>6</v>
      </c>
      <c r="C104" s="40">
        <f>ROUND(C91/C94,5)</f>
        <v>3.2138499999999999</v>
      </c>
      <c r="D104" s="40">
        <f>ROUND(D91/D94,5)</f>
        <v>4.0334500000000002</v>
      </c>
      <c r="E104" s="40">
        <f>ROUND(E91/E94,5)</f>
        <v>4.2553900000000002</v>
      </c>
      <c r="F104" s="43"/>
      <c r="G104" s="16"/>
      <c r="H104" s="16"/>
      <c r="I104" s="16"/>
      <c r="J104" s="43"/>
      <c r="K104" s="43"/>
      <c r="L104" s="43"/>
      <c r="M104" s="16"/>
      <c r="N104" s="16"/>
      <c r="O104" s="43"/>
      <c r="P104" s="43"/>
      <c r="Q104" s="43"/>
      <c r="R104" s="16"/>
      <c r="S104" s="16"/>
      <c r="T104" s="16"/>
    </row>
    <row r="105" spans="1:20" ht="21.6" customHeight="1" x14ac:dyDescent="0.25">
      <c r="A105" s="79"/>
      <c r="B105" s="42">
        <v>8</v>
      </c>
      <c r="C105" s="40">
        <f>ROUND(C91/C95,5)</f>
        <v>3.3317399999999999</v>
      </c>
      <c r="D105" s="40">
        <f>ROUND(D91/D95,5)</f>
        <v>4.4489700000000001</v>
      </c>
      <c r="E105" s="40">
        <f>ROUND(E91/E95,5)</f>
        <v>4.70085</v>
      </c>
      <c r="F105" s="43"/>
      <c r="G105" s="16"/>
      <c r="H105" s="16"/>
      <c r="I105" s="16"/>
      <c r="J105" s="43"/>
      <c r="K105" s="43"/>
      <c r="L105" s="43"/>
      <c r="M105" s="16"/>
      <c r="N105" s="16"/>
      <c r="O105" s="43"/>
      <c r="P105" s="43"/>
      <c r="Q105" s="43"/>
      <c r="R105" s="16"/>
      <c r="S105" s="16"/>
      <c r="T105" s="16"/>
    </row>
    <row r="106" spans="1:20" ht="21.6" customHeight="1" x14ac:dyDescent="0.25">
      <c r="A106" s="79"/>
      <c r="B106" s="42">
        <v>10</v>
      </c>
      <c r="C106" s="40">
        <f>ROUND(C91/C96,5)</f>
        <v>3.3857400000000002</v>
      </c>
      <c r="D106" s="40">
        <f>ROUND(D91/D96,5)</f>
        <v>4.6193999999999997</v>
      </c>
      <c r="E106" s="40">
        <f>ROUND(E91/E96,5)</f>
        <v>5.0873499999999998</v>
      </c>
      <c r="F106" s="43"/>
      <c r="G106" s="16"/>
      <c r="H106" s="16"/>
      <c r="I106" s="16"/>
      <c r="J106" s="43"/>
      <c r="K106" s="43"/>
      <c r="L106" s="43"/>
      <c r="M106" s="16"/>
      <c r="N106" s="16"/>
      <c r="O106" s="43"/>
      <c r="P106" s="43"/>
      <c r="Q106" s="43"/>
      <c r="R106" s="16"/>
      <c r="S106" s="16"/>
      <c r="T106" s="16"/>
    </row>
    <row r="107" spans="1:20" ht="21.6" customHeight="1" x14ac:dyDescent="0.25">
      <c r="A107" s="79"/>
      <c r="B107" s="42">
        <v>12</v>
      </c>
      <c r="C107" s="40">
        <f>ROUND(C91/C97,5)</f>
        <v>3.4933100000000001</v>
      </c>
      <c r="D107" s="40">
        <f>ROUND(D91/D97,5)</f>
        <v>4.7108100000000004</v>
      </c>
      <c r="E107" s="40">
        <f>ROUND(E91/E97,5)</f>
        <v>5.3701999999999996</v>
      </c>
      <c r="F107" s="43"/>
      <c r="G107" s="16"/>
      <c r="H107" s="16"/>
      <c r="I107" s="16"/>
      <c r="J107" s="43"/>
      <c r="K107" s="43"/>
      <c r="L107" s="43"/>
      <c r="M107" s="16"/>
      <c r="N107" s="16"/>
      <c r="O107" s="43"/>
      <c r="P107" s="43"/>
      <c r="Q107" s="43"/>
      <c r="R107" s="16"/>
      <c r="S107" s="16"/>
      <c r="T107" s="16"/>
    </row>
    <row r="108" spans="1:20" ht="21.6" customHeight="1" x14ac:dyDescent="0.25">
      <c r="A108" s="79"/>
      <c r="B108" s="42">
        <v>16</v>
      </c>
      <c r="C108" s="40">
        <f>ROUND(C91/C98,5)</f>
        <v>3.4933100000000001</v>
      </c>
      <c r="D108" s="40">
        <f>ROUND(D91/D98,5)</f>
        <v>4.8997400000000004</v>
      </c>
      <c r="E108" s="40">
        <f>ROUND(E91/E98,5)</f>
        <v>5.5549099999999996</v>
      </c>
      <c r="F108" s="43"/>
      <c r="G108" s="16"/>
      <c r="H108" s="16"/>
      <c r="I108" s="16"/>
      <c r="J108" s="43"/>
      <c r="K108" s="43"/>
      <c r="L108" s="43"/>
      <c r="M108" s="16"/>
      <c r="N108" s="16"/>
      <c r="O108" s="43"/>
      <c r="P108" s="43"/>
      <c r="Q108" s="43"/>
      <c r="R108" s="16"/>
      <c r="S108" s="16"/>
      <c r="T108" s="16"/>
    </row>
    <row r="109" spans="1:20" ht="21.6" customHeight="1" x14ac:dyDescent="0.25">
      <c r="A109" s="79"/>
      <c r="B109" s="74" t="s">
        <v>97</v>
      </c>
      <c r="C109" s="75"/>
      <c r="D109" s="75"/>
      <c r="E109" s="76"/>
      <c r="F109" s="43"/>
      <c r="G109" s="16"/>
      <c r="H109" s="16"/>
      <c r="I109" s="16"/>
      <c r="J109" s="43"/>
      <c r="K109" s="43"/>
      <c r="L109" s="43"/>
      <c r="M109" s="16"/>
      <c r="N109" s="16"/>
      <c r="O109" s="43"/>
      <c r="P109" s="43"/>
      <c r="Q109" s="43"/>
      <c r="R109" s="16"/>
      <c r="S109" s="16"/>
      <c r="T109" s="16"/>
    </row>
    <row r="110" spans="1:20" ht="21.6" customHeight="1" x14ac:dyDescent="0.25">
      <c r="A110" s="79"/>
      <c r="B110" s="42" t="s">
        <v>77</v>
      </c>
      <c r="C110" s="25" t="s">
        <v>80</v>
      </c>
      <c r="D110" s="25" t="s">
        <v>79</v>
      </c>
      <c r="E110" s="25" t="s">
        <v>112</v>
      </c>
      <c r="F110" s="43"/>
      <c r="G110" s="16"/>
      <c r="H110" s="16"/>
      <c r="I110" s="16"/>
      <c r="J110" s="43"/>
      <c r="K110" s="43"/>
      <c r="L110" s="43"/>
      <c r="M110" s="16"/>
      <c r="N110" s="16"/>
      <c r="O110" s="43"/>
      <c r="P110" s="43"/>
      <c r="Q110" s="43"/>
      <c r="R110" s="16"/>
      <c r="S110" s="16"/>
      <c r="T110" s="16"/>
    </row>
    <row r="111" spans="1:20" ht="21.6" customHeight="1" x14ac:dyDescent="0.25">
      <c r="A111" s="79"/>
      <c r="B111" s="42">
        <v>1</v>
      </c>
      <c r="C111" s="40">
        <f t="shared" ref="C111:C118" si="4">ROUND(C101/$B101,5)</f>
        <v>1</v>
      </c>
      <c r="D111" s="40">
        <f t="shared" ref="D111:D118" si="5">ROUND(D101/B101,5)</f>
        <v>1</v>
      </c>
      <c r="E111" s="40">
        <f t="shared" ref="E111:E118" si="6">ROUND(E101/$B101,5)</f>
        <v>1</v>
      </c>
      <c r="F111" s="43"/>
      <c r="G111" s="16"/>
      <c r="H111" s="16"/>
      <c r="I111" s="16"/>
      <c r="J111" s="43"/>
      <c r="K111" s="43"/>
      <c r="L111" s="43"/>
      <c r="M111" s="16"/>
      <c r="N111" s="16"/>
      <c r="O111" s="43"/>
      <c r="P111" s="43"/>
      <c r="Q111" s="43"/>
      <c r="R111" s="16"/>
      <c r="S111" s="16"/>
      <c r="T111" s="16"/>
    </row>
    <row r="112" spans="1:20" ht="21.6" customHeight="1" x14ac:dyDescent="0.25">
      <c r="A112" s="79"/>
      <c r="B112" s="42">
        <v>2</v>
      </c>
      <c r="C112" s="40">
        <f t="shared" si="4"/>
        <v>0.84987999999999997</v>
      </c>
      <c r="D112" s="40">
        <f t="shared" si="5"/>
        <v>0.92278000000000004</v>
      </c>
      <c r="E112" s="40">
        <f t="shared" si="6"/>
        <v>0.95840999999999998</v>
      </c>
      <c r="F112" s="43"/>
      <c r="G112" s="16"/>
      <c r="H112" s="16"/>
      <c r="I112" s="16"/>
      <c r="J112" s="43"/>
      <c r="K112" s="43"/>
      <c r="L112" s="43"/>
      <c r="M112" s="16"/>
      <c r="N112" s="16"/>
      <c r="O112" s="43"/>
      <c r="P112" s="43"/>
      <c r="Q112" s="43"/>
      <c r="R112" s="16"/>
      <c r="S112" s="16"/>
      <c r="T112" s="16"/>
    </row>
    <row r="113" spans="1:29" ht="21.6" customHeight="1" x14ac:dyDescent="0.25">
      <c r="A113" s="79"/>
      <c r="B113" s="42">
        <v>4</v>
      </c>
      <c r="C113" s="40">
        <f t="shared" si="4"/>
        <v>0.61082000000000003</v>
      </c>
      <c r="D113" s="40">
        <f t="shared" si="5"/>
        <v>0.90251000000000003</v>
      </c>
      <c r="E113" s="40">
        <f t="shared" si="6"/>
        <v>0.76773999999999998</v>
      </c>
      <c r="F113" s="43"/>
      <c r="G113" s="16"/>
      <c r="H113" s="16"/>
      <c r="I113" s="16"/>
      <c r="J113" s="43"/>
      <c r="K113" s="43"/>
      <c r="L113" s="43"/>
      <c r="M113" s="16"/>
      <c r="N113" s="16"/>
      <c r="O113" s="43"/>
      <c r="P113" s="43"/>
      <c r="Q113" s="43"/>
      <c r="R113" s="16"/>
      <c r="S113" s="16"/>
      <c r="T113" s="16"/>
    </row>
    <row r="114" spans="1:29" ht="21.6" customHeight="1" x14ac:dyDescent="0.25">
      <c r="A114" s="79"/>
      <c r="B114" s="42">
        <v>6</v>
      </c>
      <c r="C114" s="40">
        <f t="shared" si="4"/>
        <v>0.53564000000000001</v>
      </c>
      <c r="D114" s="40">
        <f t="shared" si="5"/>
        <v>0.67223999999999995</v>
      </c>
      <c r="E114" s="40">
        <f t="shared" si="6"/>
        <v>0.70923000000000003</v>
      </c>
      <c r="F114" s="43"/>
      <c r="G114" s="16"/>
      <c r="H114" s="16"/>
      <c r="I114" s="16"/>
      <c r="J114" s="43"/>
      <c r="K114" s="43"/>
      <c r="L114" s="43"/>
      <c r="M114" s="16"/>
      <c r="N114" s="16"/>
      <c r="O114" s="43"/>
      <c r="P114" s="43"/>
      <c r="Q114" s="43"/>
      <c r="R114" s="16"/>
      <c r="S114" s="16"/>
      <c r="T114" s="16"/>
    </row>
    <row r="115" spans="1:29" ht="21.6" customHeight="1" x14ac:dyDescent="0.25">
      <c r="A115" s="79"/>
      <c r="B115" s="42">
        <v>8</v>
      </c>
      <c r="C115" s="40">
        <f t="shared" si="4"/>
        <v>0.41647000000000001</v>
      </c>
      <c r="D115" s="40">
        <f t="shared" si="5"/>
        <v>0.55611999999999995</v>
      </c>
      <c r="E115" s="40">
        <f t="shared" si="6"/>
        <v>0.58760999999999997</v>
      </c>
      <c r="F115" s="43"/>
      <c r="G115" s="16"/>
      <c r="H115" s="16"/>
      <c r="I115" s="16"/>
      <c r="J115" s="43"/>
      <c r="K115" s="43"/>
      <c r="L115" s="43"/>
      <c r="M115" s="16"/>
      <c r="N115" s="16"/>
      <c r="O115" s="43"/>
      <c r="P115" s="43"/>
      <c r="Q115" s="43"/>
      <c r="R115" s="16"/>
      <c r="S115" s="16"/>
      <c r="T115" s="16"/>
    </row>
    <row r="116" spans="1:29" ht="21.6" customHeight="1" x14ac:dyDescent="0.25">
      <c r="A116" s="79"/>
      <c r="B116" s="42">
        <v>10</v>
      </c>
      <c r="C116" s="40">
        <f t="shared" si="4"/>
        <v>0.33856999999999998</v>
      </c>
      <c r="D116" s="40">
        <f t="shared" si="5"/>
        <v>0.46194000000000002</v>
      </c>
      <c r="E116" s="40">
        <f t="shared" si="6"/>
        <v>0.50873999999999997</v>
      </c>
      <c r="F116" s="43"/>
      <c r="G116" s="16"/>
      <c r="H116" s="16"/>
      <c r="I116" s="16"/>
      <c r="J116" s="43"/>
      <c r="K116" s="43"/>
      <c r="L116" s="43"/>
      <c r="M116" s="16"/>
      <c r="N116" s="16"/>
      <c r="O116" s="43"/>
      <c r="P116" s="43"/>
      <c r="Q116" s="43"/>
      <c r="R116" s="16"/>
      <c r="S116" s="16"/>
      <c r="T116" s="16"/>
    </row>
    <row r="117" spans="1:29" ht="21.6" customHeight="1" x14ac:dyDescent="0.25">
      <c r="A117" s="79"/>
      <c r="B117" s="42">
        <v>12</v>
      </c>
      <c r="C117" s="40">
        <f t="shared" si="4"/>
        <v>0.29110999999999998</v>
      </c>
      <c r="D117" s="40">
        <f t="shared" si="5"/>
        <v>0.39256999999999997</v>
      </c>
      <c r="E117" s="40">
        <f t="shared" si="6"/>
        <v>0.44751999999999997</v>
      </c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</row>
    <row r="118" spans="1:29" ht="21.6" customHeight="1" x14ac:dyDescent="0.25">
      <c r="A118" s="79"/>
      <c r="B118" s="42">
        <v>16</v>
      </c>
      <c r="C118" s="40">
        <f t="shared" si="4"/>
        <v>0.21833</v>
      </c>
      <c r="D118" s="40">
        <f t="shared" si="5"/>
        <v>0.30623</v>
      </c>
      <c r="E118" s="40">
        <f t="shared" si="6"/>
        <v>0.34717999999999999</v>
      </c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</row>
    <row r="119" spans="1:29" ht="21.6" customHeight="1" x14ac:dyDescent="0.25">
      <c r="A119" s="79"/>
      <c r="B119" s="33" t="s">
        <v>86</v>
      </c>
      <c r="C119" s="78" t="s">
        <v>114</v>
      </c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4"/>
    </row>
    <row r="120" spans="1:29" ht="21.6" customHeight="1" x14ac:dyDescent="0.25">
      <c r="A120" s="85" t="s">
        <v>108</v>
      </c>
      <c r="B120" s="74" t="s">
        <v>78</v>
      </c>
      <c r="C120" s="75"/>
      <c r="D120" s="75"/>
      <c r="E120" s="76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</row>
    <row r="121" spans="1:29" ht="21.6" customHeight="1" x14ac:dyDescent="0.25">
      <c r="A121" s="86"/>
      <c r="B121" s="42" t="s">
        <v>77</v>
      </c>
      <c r="C121" s="25" t="s">
        <v>79</v>
      </c>
      <c r="D121" s="25" t="s">
        <v>112</v>
      </c>
      <c r="E121" s="25" t="s">
        <v>123</v>
      </c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</row>
    <row r="122" spans="1:29" ht="21.6" customHeight="1" x14ac:dyDescent="0.25">
      <c r="A122" s="86"/>
      <c r="B122" s="15">
        <v>1</v>
      </c>
      <c r="C122" s="24">
        <v>9725</v>
      </c>
      <c r="D122" s="24">
        <v>76160</v>
      </c>
      <c r="E122" s="24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</row>
    <row r="123" spans="1:29" ht="21.6" customHeight="1" x14ac:dyDescent="0.25">
      <c r="A123" s="86"/>
      <c r="B123" s="15">
        <v>2</v>
      </c>
      <c r="C123" s="24">
        <v>5498</v>
      </c>
      <c r="D123" s="24">
        <v>39071</v>
      </c>
      <c r="E123" s="24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</row>
    <row r="124" spans="1:29" ht="21.6" customHeight="1" x14ac:dyDescent="0.25">
      <c r="A124" s="86"/>
      <c r="B124" s="15">
        <v>4</v>
      </c>
      <c r="C124" s="24">
        <v>3076</v>
      </c>
      <c r="D124" s="24">
        <v>20102</v>
      </c>
      <c r="E124" s="24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</row>
    <row r="125" spans="1:29" ht="21.6" customHeight="1" x14ac:dyDescent="0.25">
      <c r="A125" s="86"/>
      <c r="B125" s="15">
        <v>6</v>
      </c>
      <c r="C125" s="24">
        <v>2342</v>
      </c>
      <c r="D125" s="24">
        <v>14063</v>
      </c>
      <c r="E125" s="24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</row>
    <row r="126" spans="1:29" ht="21.6" customHeight="1" x14ac:dyDescent="0.25">
      <c r="A126" s="86"/>
      <c r="B126" s="15">
        <v>8</v>
      </c>
      <c r="C126" s="40">
        <v>1880</v>
      </c>
      <c r="D126" s="24">
        <v>11690</v>
      </c>
      <c r="E126" s="24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</row>
    <row r="127" spans="1:29" ht="21.6" customHeight="1" x14ac:dyDescent="0.25">
      <c r="A127" s="86"/>
      <c r="B127" s="15">
        <v>10</v>
      </c>
      <c r="C127" s="40">
        <v>1650</v>
      </c>
      <c r="D127" s="24">
        <v>10161</v>
      </c>
      <c r="E127" s="24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</row>
    <row r="128" spans="1:29" ht="21.6" customHeight="1" x14ac:dyDescent="0.25">
      <c r="A128" s="86"/>
      <c r="B128" s="15">
        <v>12</v>
      </c>
      <c r="C128" s="40">
        <v>1435</v>
      </c>
      <c r="D128" s="24">
        <v>8034</v>
      </c>
      <c r="E128" s="24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</row>
    <row r="129" spans="1:29" ht="21.6" customHeight="1" x14ac:dyDescent="0.25">
      <c r="A129" s="86"/>
      <c r="B129" s="15">
        <v>14</v>
      </c>
      <c r="C129" s="40">
        <v>1318</v>
      </c>
      <c r="D129" s="24">
        <v>7301</v>
      </c>
      <c r="E129" s="24">
        <v>23660</v>
      </c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</row>
    <row r="130" spans="1:29" ht="21.6" customHeight="1" x14ac:dyDescent="0.25">
      <c r="A130" s="86"/>
      <c r="B130" s="15">
        <v>16</v>
      </c>
      <c r="C130" s="40">
        <v>1223</v>
      </c>
      <c r="D130" s="24">
        <v>6821</v>
      </c>
      <c r="E130" s="24">
        <v>21062</v>
      </c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</row>
    <row r="131" spans="1:29" ht="21.6" customHeight="1" x14ac:dyDescent="0.25">
      <c r="A131" s="86"/>
      <c r="B131" s="15">
        <v>18</v>
      </c>
      <c r="C131" s="40">
        <v>1176</v>
      </c>
      <c r="D131" s="24">
        <v>6201</v>
      </c>
      <c r="E131" s="24">
        <v>20637</v>
      </c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</row>
    <row r="132" spans="1:29" ht="21.6" customHeight="1" x14ac:dyDescent="0.25">
      <c r="A132" s="86"/>
      <c r="B132" s="15">
        <v>20</v>
      </c>
      <c r="C132" s="40">
        <v>1067</v>
      </c>
      <c r="D132" s="24">
        <v>6056</v>
      </c>
      <c r="E132" s="24">
        <v>18311</v>
      </c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</row>
    <row r="133" spans="1:29" ht="21.6" customHeight="1" x14ac:dyDescent="0.25">
      <c r="A133" s="86"/>
      <c r="B133" s="87">
        <v>40</v>
      </c>
      <c r="C133" s="88">
        <v>1201</v>
      </c>
      <c r="D133" s="89">
        <v>6846</v>
      </c>
      <c r="E133" s="89">
        <v>20629</v>
      </c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</row>
    <row r="134" spans="1:29" ht="21.6" customHeight="1" x14ac:dyDescent="0.25">
      <c r="A134" s="86"/>
      <c r="B134" s="74" t="s">
        <v>96</v>
      </c>
      <c r="C134" s="75"/>
      <c r="D134" s="75"/>
      <c r="E134" s="76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</row>
    <row r="135" spans="1:29" ht="21.6" customHeight="1" x14ac:dyDescent="0.25">
      <c r="A135" s="86"/>
      <c r="B135" s="42" t="s">
        <v>77</v>
      </c>
      <c r="C135" s="25" t="s">
        <v>79</v>
      </c>
      <c r="D135" s="25" t="s">
        <v>112</v>
      </c>
      <c r="E135" s="25" t="s">
        <v>123</v>
      </c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</row>
    <row r="136" spans="1:29" ht="21.6" customHeight="1" x14ac:dyDescent="0.25">
      <c r="A136" s="86"/>
      <c r="B136" s="15">
        <v>1</v>
      </c>
      <c r="C136" s="40">
        <f>C122/C122</f>
        <v>1</v>
      </c>
      <c r="D136" s="40">
        <f>D122/D122</f>
        <v>1</v>
      </c>
      <c r="E136" s="40" t="e">
        <f>E122/E122</f>
        <v>#DIV/0!</v>
      </c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</row>
    <row r="137" spans="1:29" ht="21.6" customHeight="1" x14ac:dyDescent="0.25">
      <c r="A137" s="86"/>
      <c r="B137" s="15">
        <v>2</v>
      </c>
      <c r="C137" s="40">
        <f>C122/C123</f>
        <v>1.7688250272826482</v>
      </c>
      <c r="D137" s="40">
        <f>D122/D123</f>
        <v>1.9492718384479537</v>
      </c>
      <c r="E137" s="40" t="e">
        <f>E122/E123</f>
        <v>#DIV/0!</v>
      </c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</row>
    <row r="138" spans="1:29" ht="21.6" customHeight="1" x14ac:dyDescent="0.25">
      <c r="A138" s="86"/>
      <c r="B138" s="15">
        <v>4</v>
      </c>
      <c r="C138" s="40">
        <f>C122/C124</f>
        <v>3.1615734720416127</v>
      </c>
      <c r="D138" s="40">
        <f>D122/D124</f>
        <v>3.7886777435081087</v>
      </c>
      <c r="E138" s="40" t="e">
        <f>E122/E124</f>
        <v>#DIV/0!</v>
      </c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</row>
    <row r="139" spans="1:29" ht="21.6" customHeight="1" x14ac:dyDescent="0.25">
      <c r="A139" s="86"/>
      <c r="B139" s="15">
        <v>6</v>
      </c>
      <c r="C139" s="40">
        <f>C122/C125</f>
        <v>4.1524338172502135</v>
      </c>
      <c r="D139" s="40">
        <f>D122/D125</f>
        <v>5.4156296665007471</v>
      </c>
      <c r="E139" s="40" t="e">
        <f>E122/E125</f>
        <v>#DIV/0!</v>
      </c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</row>
    <row r="140" spans="1:29" ht="21.6" customHeight="1" x14ac:dyDescent="0.25">
      <c r="A140" s="86"/>
      <c r="B140" s="15">
        <v>8</v>
      </c>
      <c r="C140" s="40">
        <f>C122/C126</f>
        <v>5.1728723404255321</v>
      </c>
      <c r="D140" s="40">
        <f>D122/D126</f>
        <v>6.5149700598802394</v>
      </c>
      <c r="E140" s="40" t="e">
        <f>E122/E126</f>
        <v>#DIV/0!</v>
      </c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</row>
    <row r="141" spans="1:29" ht="21.6" customHeight="1" x14ac:dyDescent="0.25">
      <c r="A141" s="86"/>
      <c r="B141" s="15">
        <v>10</v>
      </c>
      <c r="C141" s="40">
        <f>C122/C127</f>
        <v>5.8939393939393936</v>
      </c>
      <c r="D141" s="40">
        <f>D122/D127</f>
        <v>7.4953252632614902</v>
      </c>
      <c r="E141" s="40" t="e">
        <f>E122/E127</f>
        <v>#DIV/0!</v>
      </c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</row>
    <row r="142" spans="1:29" ht="21.6" customHeight="1" x14ac:dyDescent="0.25">
      <c r="A142" s="86"/>
      <c r="B142" s="15">
        <v>12</v>
      </c>
      <c r="C142" s="40">
        <f>C122/C128</f>
        <v>6.7770034843205575</v>
      </c>
      <c r="D142" s="40">
        <f>D122/D128</f>
        <v>9.4797112272840423</v>
      </c>
      <c r="E142" s="40" t="e">
        <f>E122/E128</f>
        <v>#DIV/0!</v>
      </c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</row>
    <row r="143" spans="1:29" ht="21.6" customHeight="1" x14ac:dyDescent="0.25">
      <c r="A143" s="86"/>
      <c r="B143" s="15">
        <v>14</v>
      </c>
      <c r="C143" s="40">
        <f>C$122/C129</f>
        <v>7.3786039453717756</v>
      </c>
      <c r="D143" s="40">
        <f>D$122/D129</f>
        <v>10.431447746883988</v>
      </c>
      <c r="E143" s="40">
        <f>E$122/E129</f>
        <v>0</v>
      </c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</row>
    <row r="144" spans="1:29" ht="21.6" customHeight="1" x14ac:dyDescent="0.25">
      <c r="A144" s="86"/>
      <c r="B144" s="15">
        <v>16</v>
      </c>
      <c r="C144" s="40">
        <f t="shared" ref="C144:D147" si="7">C$122/C130</f>
        <v>7.9517579721995091</v>
      </c>
      <c r="D144" s="40">
        <f t="shared" si="7"/>
        <v>11.165518252455652</v>
      </c>
      <c r="E144" s="40">
        <f t="shared" ref="E144" si="8">E$122/E130</f>
        <v>0</v>
      </c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</row>
    <row r="145" spans="1:29" ht="21.6" customHeight="1" x14ac:dyDescent="0.25">
      <c r="A145" s="86"/>
      <c r="B145" s="15">
        <v>18</v>
      </c>
      <c r="C145" s="40">
        <f t="shared" si="7"/>
        <v>8.2695578231292526</v>
      </c>
      <c r="D145" s="40">
        <f t="shared" si="7"/>
        <v>12.281890017739075</v>
      </c>
      <c r="E145" s="40">
        <f t="shared" ref="E145" si="9">E$122/E131</f>
        <v>0</v>
      </c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</row>
    <row r="146" spans="1:29" ht="21.6" customHeight="1" x14ac:dyDescent="0.25">
      <c r="A146" s="86"/>
      <c r="B146" s="15">
        <v>20</v>
      </c>
      <c r="C146" s="40">
        <f t="shared" si="7"/>
        <v>9.1143392689784442</v>
      </c>
      <c r="D146" s="40">
        <f t="shared" si="7"/>
        <v>12.575957727873183</v>
      </c>
      <c r="E146" s="40">
        <f t="shared" ref="E146" si="10">E$122/E132</f>
        <v>0</v>
      </c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</row>
    <row r="147" spans="1:29" ht="21.6" customHeight="1" x14ac:dyDescent="0.25">
      <c r="A147" s="86"/>
      <c r="B147" s="87">
        <v>40</v>
      </c>
      <c r="C147" s="88">
        <f t="shared" si="7"/>
        <v>8.0974188176519561</v>
      </c>
      <c r="D147" s="88">
        <f t="shared" si="7"/>
        <v>11.124744376278118</v>
      </c>
      <c r="E147" s="88">
        <f>E$122/E133</f>
        <v>0</v>
      </c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</row>
    <row r="148" spans="1:29" ht="21.6" customHeight="1" x14ac:dyDescent="0.25">
      <c r="A148" s="86"/>
      <c r="B148" s="74" t="s">
        <v>97</v>
      </c>
      <c r="C148" s="75"/>
      <c r="D148" s="75"/>
      <c r="E148" s="7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</row>
    <row r="149" spans="1:29" ht="21.6" customHeight="1" x14ac:dyDescent="0.25">
      <c r="A149" s="86"/>
      <c r="B149" s="42" t="s">
        <v>77</v>
      </c>
      <c r="C149" s="25" t="s">
        <v>79</v>
      </c>
      <c r="D149" s="25" t="s">
        <v>112</v>
      </c>
      <c r="E149" s="25" t="s">
        <v>123</v>
      </c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</row>
    <row r="150" spans="1:29" ht="21.6" customHeight="1" x14ac:dyDescent="0.25">
      <c r="A150" s="86"/>
      <c r="B150" s="15">
        <v>1</v>
      </c>
      <c r="C150" s="40">
        <f t="shared" ref="C150:E154" si="11">C136/$B136</f>
        <v>1</v>
      </c>
      <c r="D150" s="40">
        <f t="shared" si="11"/>
        <v>1</v>
      </c>
      <c r="E150" s="40" t="e">
        <f t="shared" si="11"/>
        <v>#DIV/0!</v>
      </c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</row>
    <row r="151" spans="1:29" ht="21.6" customHeight="1" x14ac:dyDescent="0.25">
      <c r="A151" s="86"/>
      <c r="B151" s="15">
        <v>2</v>
      </c>
      <c r="C151" s="40">
        <f t="shared" si="11"/>
        <v>0.88441251364132412</v>
      </c>
      <c r="D151" s="40">
        <f t="shared" si="11"/>
        <v>0.97463591922397685</v>
      </c>
      <c r="E151" s="40" t="e">
        <f t="shared" si="11"/>
        <v>#DIV/0!</v>
      </c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</row>
    <row r="152" spans="1:29" ht="21.6" customHeight="1" x14ac:dyDescent="0.25">
      <c r="A152" s="86"/>
      <c r="B152" s="15">
        <v>4</v>
      </c>
      <c r="C152" s="40">
        <f t="shared" si="11"/>
        <v>0.79039336801040316</v>
      </c>
      <c r="D152" s="40">
        <f t="shared" si="11"/>
        <v>0.94716943587702718</v>
      </c>
      <c r="E152" s="40" t="e">
        <f t="shared" si="11"/>
        <v>#DIV/0!</v>
      </c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</row>
    <row r="153" spans="1:29" ht="21.6" customHeight="1" x14ac:dyDescent="0.25">
      <c r="A153" s="86"/>
      <c r="B153" s="15">
        <v>6</v>
      </c>
      <c r="C153" s="40">
        <f t="shared" si="11"/>
        <v>0.69207230287503563</v>
      </c>
      <c r="D153" s="40">
        <f t="shared" si="11"/>
        <v>0.90260494441679118</v>
      </c>
      <c r="E153" s="40" t="e">
        <f t="shared" si="11"/>
        <v>#DIV/0!</v>
      </c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</row>
    <row r="154" spans="1:29" ht="21.6" customHeight="1" x14ac:dyDescent="0.25">
      <c r="A154" s="86"/>
      <c r="B154" s="15">
        <v>8</v>
      </c>
      <c r="C154" s="40">
        <f t="shared" si="11"/>
        <v>0.64660904255319152</v>
      </c>
      <c r="D154" s="40">
        <f t="shared" si="11"/>
        <v>0.81437125748502992</v>
      </c>
      <c r="E154" s="40" t="e">
        <f t="shared" si="11"/>
        <v>#DIV/0!</v>
      </c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</row>
    <row r="155" spans="1:29" ht="21.6" customHeight="1" x14ac:dyDescent="0.25">
      <c r="A155" s="86"/>
      <c r="B155" s="15">
        <v>10</v>
      </c>
      <c r="C155" s="40">
        <f>C141/B141</f>
        <v>0.58939393939393936</v>
      </c>
      <c r="D155" s="40">
        <f t="shared" ref="D155:E161" si="12">D141/$B141</f>
        <v>0.74953252632614897</v>
      </c>
      <c r="E155" s="40" t="e">
        <f t="shared" si="12"/>
        <v>#DIV/0!</v>
      </c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</row>
    <row r="156" spans="1:29" ht="21.6" customHeight="1" x14ac:dyDescent="0.25">
      <c r="A156" s="86"/>
      <c r="B156" s="15">
        <v>12</v>
      </c>
      <c r="C156" s="40">
        <f t="shared" ref="C156:C161" si="13">C142/$B142</f>
        <v>0.56475029036004643</v>
      </c>
      <c r="D156" s="40">
        <f t="shared" si="12"/>
        <v>0.78997593560700352</v>
      </c>
      <c r="E156" s="40" t="e">
        <f t="shared" si="12"/>
        <v>#DIV/0!</v>
      </c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</row>
    <row r="157" spans="1:29" ht="21.6" customHeight="1" x14ac:dyDescent="0.25">
      <c r="A157" s="86"/>
      <c r="B157" s="15">
        <v>14</v>
      </c>
      <c r="C157" s="40">
        <f t="shared" si="13"/>
        <v>0.52704313895512678</v>
      </c>
      <c r="D157" s="40">
        <f t="shared" si="12"/>
        <v>0.74510341049171347</v>
      </c>
      <c r="E157" s="40">
        <f t="shared" si="12"/>
        <v>0</v>
      </c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</row>
    <row r="158" spans="1:29" ht="21.6" customHeight="1" x14ac:dyDescent="0.25">
      <c r="A158" s="86"/>
      <c r="B158" s="15">
        <v>16</v>
      </c>
      <c r="C158" s="40">
        <f t="shared" si="13"/>
        <v>0.49698487326246932</v>
      </c>
      <c r="D158" s="40">
        <f t="shared" si="12"/>
        <v>0.69784489077847822</v>
      </c>
      <c r="E158" s="40">
        <f t="shared" si="12"/>
        <v>0</v>
      </c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</row>
    <row r="159" spans="1:29" ht="21.6" customHeight="1" x14ac:dyDescent="0.25">
      <c r="A159" s="86"/>
      <c r="B159" s="15">
        <v>18</v>
      </c>
      <c r="C159" s="40">
        <f t="shared" si="13"/>
        <v>0.45941987906273624</v>
      </c>
      <c r="D159" s="40">
        <f t="shared" si="12"/>
        <v>0.68232722320772643</v>
      </c>
      <c r="E159" s="40">
        <f t="shared" si="12"/>
        <v>0</v>
      </c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</row>
    <row r="160" spans="1:29" ht="21.6" customHeight="1" x14ac:dyDescent="0.25">
      <c r="A160" s="86"/>
      <c r="B160" s="15">
        <v>20</v>
      </c>
      <c r="C160" s="40">
        <f t="shared" si="13"/>
        <v>0.45571696344892221</v>
      </c>
      <c r="D160" s="40">
        <f t="shared" si="12"/>
        <v>0.62879788639365919</v>
      </c>
      <c r="E160" s="40">
        <f t="shared" si="12"/>
        <v>0</v>
      </c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</row>
    <row r="161" spans="1:29" ht="21.6" customHeight="1" x14ac:dyDescent="0.25">
      <c r="A161" s="86"/>
      <c r="B161" s="87">
        <v>40</v>
      </c>
      <c r="C161" s="88">
        <f t="shared" si="13"/>
        <v>0.20243547044129889</v>
      </c>
      <c r="D161" s="88">
        <f t="shared" si="12"/>
        <v>0.27811860940695293</v>
      </c>
      <c r="E161" s="88">
        <f t="shared" si="12"/>
        <v>0</v>
      </c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</row>
    <row r="162" spans="1:29" ht="21.6" customHeight="1" x14ac:dyDescent="0.25">
      <c r="A162" s="86"/>
      <c r="B162" s="33" t="s">
        <v>86</v>
      </c>
      <c r="C162" s="78" t="s">
        <v>124</v>
      </c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  <c r="AB162" s="83"/>
      <c r="AC162" s="84"/>
    </row>
  </sheetData>
  <mergeCells count="35">
    <mergeCell ref="B148:E148"/>
    <mergeCell ref="B134:E134"/>
    <mergeCell ref="B120:E120"/>
    <mergeCell ref="A120:A162"/>
    <mergeCell ref="C162:AC162"/>
    <mergeCell ref="A89:A119"/>
    <mergeCell ref="C119:T119"/>
    <mergeCell ref="B89:E89"/>
    <mergeCell ref="B99:E99"/>
    <mergeCell ref="B109:E109"/>
    <mergeCell ref="A24:L24"/>
    <mergeCell ref="M24:N24"/>
    <mergeCell ref="M1:N1"/>
    <mergeCell ref="A1:L1"/>
    <mergeCell ref="C12:N12"/>
    <mergeCell ref="A2:A12"/>
    <mergeCell ref="A13:A23"/>
    <mergeCell ref="B22:B23"/>
    <mergeCell ref="C22:N23"/>
    <mergeCell ref="B13:D13"/>
    <mergeCell ref="B2:D2"/>
    <mergeCell ref="O88:T88"/>
    <mergeCell ref="A88:N88"/>
    <mergeCell ref="A57:A87"/>
    <mergeCell ref="C87:N87"/>
    <mergeCell ref="C55:N55"/>
    <mergeCell ref="A25:A55"/>
    <mergeCell ref="M56:N56"/>
    <mergeCell ref="A56:L56"/>
    <mergeCell ref="B67:D67"/>
    <mergeCell ref="B77:D77"/>
    <mergeCell ref="B57:D57"/>
    <mergeCell ref="B45:D45"/>
    <mergeCell ref="B35:D35"/>
    <mergeCell ref="B25:D25"/>
  </mergeCells>
  <phoneticPr fontId="8" type="noConversion"/>
  <hyperlinks>
    <hyperlink ref="M1" location="Таблица!A44" display="Соотв. таблица" xr:uid="{4CD65288-3286-4AD3-A58F-54F99559607B}"/>
    <hyperlink ref="M24" location="Таблица!A44" display="Соотв. таблица" xr:uid="{9D7BFC76-831B-45ED-A711-BD69FCBDF5EA}"/>
    <hyperlink ref="M1:N1" location="Таблица!A31" display="Соотв. таблица" xr:uid="{A11C2496-942C-485E-9C90-BC6832A5FEFB}"/>
    <hyperlink ref="M56" location="Таблица!A44" display="Соотв. таблица" xr:uid="{57C3F4DA-44A2-4BA6-819B-4F4F0842531D}"/>
    <hyperlink ref="O88" location="Таблица!A44" display="Соотв. таблица" xr:uid="{27449B26-EC41-4188-AB17-585414844FC0}"/>
    <hyperlink ref="M56:N56" location="Таблица!A57" display="Соотв. таблица" xr:uid="{16B13C0A-8DCC-47FB-AE09-96076E156513}"/>
    <hyperlink ref="O88:T88" location="Таблица!A70" display="&gt;---------&lt; Соотв. Таблица &gt;---------&lt;" xr:uid="{6ED5ABB2-8FA0-4EE1-A919-1F84C7041834}"/>
  </hyperlink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9BDC4-CFAE-4A4A-95F0-395DE59C8746}">
  <dimension ref="M10:M23"/>
  <sheetViews>
    <sheetView workbookViewId="0">
      <selection activeCell="O11" sqref="O11"/>
    </sheetView>
  </sheetViews>
  <sheetFormatPr defaultRowHeight="22.1" x14ac:dyDescent="0.3"/>
  <cols>
    <col min="1" max="16384" width="9.140625" style="41"/>
  </cols>
  <sheetData>
    <row r="10" spans="13:13" x14ac:dyDescent="0.3">
      <c r="M10" s="44" t="s">
        <v>93</v>
      </c>
    </row>
    <row r="11" spans="13:13" x14ac:dyDescent="0.3">
      <c r="M11" s="41" t="s">
        <v>98</v>
      </c>
    </row>
    <row r="12" spans="13:13" x14ac:dyDescent="0.3">
      <c r="M12" s="41" t="s">
        <v>99</v>
      </c>
    </row>
    <row r="13" spans="13:13" x14ac:dyDescent="0.3">
      <c r="M13" s="41" t="s">
        <v>100</v>
      </c>
    </row>
    <row r="14" spans="13:13" x14ac:dyDescent="0.3">
      <c r="M14" s="41" t="s">
        <v>101</v>
      </c>
    </row>
    <row r="17" spans="13:13" x14ac:dyDescent="0.3">
      <c r="M17" s="44" t="s">
        <v>116</v>
      </c>
    </row>
    <row r="18" spans="13:13" x14ac:dyDescent="0.3">
      <c r="M18" s="41" t="s">
        <v>117</v>
      </c>
    </row>
    <row r="19" spans="13:13" x14ac:dyDescent="0.3">
      <c r="M19" s="41" t="s">
        <v>118</v>
      </c>
    </row>
    <row r="20" spans="13:13" x14ac:dyDescent="0.3">
      <c r="M20" s="41" t="s">
        <v>119</v>
      </c>
    </row>
    <row r="21" spans="13:13" x14ac:dyDescent="0.3">
      <c r="M21" s="41" t="s">
        <v>120</v>
      </c>
    </row>
    <row r="22" spans="13:13" x14ac:dyDescent="0.3">
      <c r="M22" s="41" t="s">
        <v>121</v>
      </c>
    </row>
    <row r="23" spans="13:13" x14ac:dyDescent="0.3">
      <c r="M23" s="41" t="s">
        <v>122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Таблица</vt:lpstr>
      <vt:lpstr>Графики</vt:lpstr>
      <vt:lpstr>Про процессор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Maxim</cp:lastModifiedBy>
  <dcterms:created xsi:type="dcterms:W3CDTF">2015-06-05T18:19:34Z</dcterms:created>
  <dcterms:modified xsi:type="dcterms:W3CDTF">2026-03-14T06:53:56Z</dcterms:modified>
</cp:coreProperties>
</file>
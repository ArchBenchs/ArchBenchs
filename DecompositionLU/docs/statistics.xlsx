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8EF867C6-078C-45FB-8D57-EF0D3112A1F6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0" i="2" l="1"/>
  <c r="E150" i="2"/>
  <c r="D151" i="2"/>
  <c r="E151" i="2"/>
  <c r="D152" i="2"/>
  <c r="E152" i="2"/>
  <c r="D153" i="2"/>
  <c r="E153" i="2"/>
  <c r="D154" i="2"/>
  <c r="E154" i="2"/>
  <c r="D155" i="2"/>
  <c r="E155" i="2"/>
  <c r="D156" i="2"/>
  <c r="E156" i="2"/>
  <c r="D157" i="2"/>
  <c r="E157" i="2"/>
  <c r="D158" i="2"/>
  <c r="E158" i="2"/>
  <c r="D159" i="2"/>
  <c r="E159" i="2"/>
  <c r="D160" i="2"/>
  <c r="E160" i="2"/>
  <c r="D161" i="2"/>
  <c r="E161" i="2"/>
  <c r="C155" i="2"/>
  <c r="C150" i="2"/>
  <c r="C161" i="2"/>
  <c r="C160" i="2"/>
  <c r="C159" i="2"/>
  <c r="C158" i="2"/>
  <c r="C157" i="2"/>
  <c r="C156" i="2"/>
  <c r="C154" i="2"/>
  <c r="C153" i="2"/>
  <c r="C152" i="2"/>
  <c r="C151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D147" i="2"/>
  <c r="D146" i="2"/>
  <c r="D145" i="2"/>
  <c r="D144" i="2"/>
  <c r="D143" i="2"/>
  <c r="D142" i="2"/>
  <c r="D141" i="2"/>
  <c r="D140" i="2"/>
  <c r="D139" i="2"/>
  <c r="D138" i="2"/>
  <c r="D137" i="2"/>
  <c r="C147" i="2"/>
  <c r="C146" i="2"/>
  <c r="C145" i="2"/>
  <c r="C144" i="2"/>
  <c r="C143" i="2"/>
  <c r="C142" i="2"/>
  <c r="C141" i="2"/>
  <c r="C140" i="2"/>
  <c r="C139" i="2"/>
  <c r="C137" i="2"/>
  <c r="C138" i="2"/>
  <c r="C106" i="2"/>
  <c r="E101" i="2" l="1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16" i="2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C136" i="2" l="1"/>
  <c r="D136" i="2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<sst xmlns="http://schemas.openxmlformats.org/spreadsheetml/2006/main" count="247" uniqueCount="119">
  <si>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</si>
  <si>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</si>
  <si>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</si>
  <si>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</si>
  <si>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</si>
  <si>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</si>
  <si>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</si>
  <si>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</si>
  <si>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</si>
  <si>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</si>
  <si>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</si>
  <si>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</si>
  <si>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</si>
  <si>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</si>
  <si>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</si>
  <si>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</si>
  <si>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</si>
  <si>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</si>
  <si>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</si>
  <si>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</si>
  <si>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</si>
  <si>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</si>
  <si>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</si>
  <si>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</si>
  <si>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</si>
  <si>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</si>
  <si>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</si>
  <si>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</si>
  <si>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</si>
  <si>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</si>
  <si>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</si>
  <si>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</si>
  <si>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</si>
  <si>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</si>
  <si>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</si>
  <si>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</si>
  <si>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</si>
  <si>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</si>
  <si>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</si>
  <si>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</si>
  <si>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</si>
  <si>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</si>
  <si>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</si>
  <si>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</si>
  <si>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</si>
  <si>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</si>
  <si>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</si>
  <si>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</si>
  <si>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</si>
  <si>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</si>
  <si>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</si>
  <si>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</si>
  <si>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</si>
  <si>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</si>
  <si>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</si>
  <si>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</si>
  <si>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</si>
  <si>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</si>
  <si>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</si>
  <si>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</si>
  <si>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</si>
  <si>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</si>
  <si>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</si>
  <si>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</si>
  <si>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</si>
  <si>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</si>
  <si>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</si>
  <si>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</si>
  <si>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</si>
  <si>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</si>
  <si>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</si>
  <si>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</si>
  <si>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</si>
  <si>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</si>
  <si>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</si>
  <si>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</si>
  <si>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</si>
  <si>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</si>
  <si>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</si>
  <si>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</si>
  <si>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</si>
  <si>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</si>
  <si>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</si>
  <si>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</si>
  <si>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</si>
  <si>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</si>
  <si>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</si>
  <si>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</si>
  <si>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</si>
  <si>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</si>
  <si>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</si>
  <si>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</si>
  <si>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</si>
  <si>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</si>
  <si>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</si>
  <si>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</si>
  <si>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</si>
  <si>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</si>
  <si>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</si>
  <si>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</si>
  <si>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</si>
  <si>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</si>
  <si>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</si>
  <si>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</si>
  <si>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</si>
  <si>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</si>
  <si>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</si>
  <si>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</si>
  <si>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</si>
  <si>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</si>
  <si>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</si>
  <si>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</si>
  <si>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</si>
  <si>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</si>
  <si>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n = 15000</t>
  </si>
  <si>
    <t>В ходе работы выяснил следующее - на миникластере 2 процессора по 10 физ ядер, балансировать их надо поровну, но на каждом четное количество (чем больше размер матрицы, тем более заметно, например, при n=10000 и числе потоков &lt;= 10, это незаметно)</t>
  </si>
  <si>
    <t>Замеры на кластере, данные, аналогично, вкладке "Про процессор"</t>
  </si>
  <si>
    <t>icpx -g -O2 -fopenmp -march=icelake-server ./test.cpp -o test</t>
  </si>
  <si>
    <t>srun -N 1 advisor --collect=roofline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</si>
</sst>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1.7688299999999999</c:v>
                </c:pt>
                <c:pt idx="2">
                  <c:v>3.1615700000000002</c:v>
                </c:pt>
                <c:pt idx="3">
                  <c:v>4.1524299999999998</c:v>
                </c:pt>
                <c:pt idx="4">
                  <c:v>5.1728699999999996</c:v>
                </c:pt>
                <c:pt idx="5">
                  <c:v>5.8939399999999997</c:v>
                </c:pt>
                <c:pt idx="6">
                  <c:v>6.7770000000000001</c:v>
                </c:pt>
                <c:pt idx="7">
                  <c:v>7.3785999999999996</c:v>
                </c:pt>
                <c:pt idx="8">
                  <c:v>7.9517600000000002</c:v>
                </c:pt>
                <c:pt idx="9">
                  <c:v>8.2695600000000002</c:v>
                </c:pt>
                <c:pt idx="10">
                  <c:v>9.1143400000000003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0.88441999999999998</c:v>
                </c:pt>
                <c:pt idx="2">
                  <c:v>0.79039000000000004</c:v>
                </c:pt>
                <c:pt idx="3">
                  <c:v>0.69206999999999996</c:v>
                </c:pt>
                <c:pt idx="4">
                  <c:v>0.64661000000000002</c:v>
                </c:pt>
                <c:pt idx="5">
                  <c:v>0.58938999999999997</c:v>
                </c:pt>
                <c:pt idx="6">
                  <c:v>0.56474999999999997</c:v>
                </c:pt>
                <c:pt idx="7">
                  <c:v>0.52703999999999995</c:v>
                </c:pt>
                <c:pt idx="8">
                  <c:v>0.49698999999999999</c:v>
                </c:pt>
                <c:pt idx="9">
                  <c:v>0.45942</c:v>
                </c:pt>
                <c:pt idx="10">
                  <c:v>0.45572000000000001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9725</c:v>
                </c:pt>
                <c:pt idx="1">
                  <c:v>5498</c:v>
                </c:pt>
                <c:pt idx="2">
                  <c:v>3076</c:v>
                </c:pt>
                <c:pt idx="3">
                  <c:v>2342</c:v>
                </c:pt>
                <c:pt idx="4">
                  <c:v>1880</c:v>
                </c:pt>
                <c:pt idx="5">
                  <c:v>1650</c:v>
                </c:pt>
                <c:pt idx="6">
                  <c:v>1435</c:v>
                </c:pt>
                <c:pt idx="7">
                  <c:v>1318</c:v>
                </c:pt>
                <c:pt idx="8">
                  <c:v>1223</c:v>
                </c:pt>
                <c:pt idx="9">
                  <c:v>1176</c:v>
                </c:pt>
                <c:pt idx="10">
                  <c:v>1067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76160</c:v>
                </c:pt>
                <c:pt idx="1">
                  <c:v>39071</c:v>
                </c:pt>
                <c:pt idx="2">
                  <c:v>20102</c:v>
                </c:pt>
                <c:pt idx="3">
                  <c:v>14063</c:v>
                </c:pt>
                <c:pt idx="4">
                  <c:v>11690</c:v>
                </c:pt>
                <c:pt idx="5">
                  <c:v>10161</c:v>
                </c:pt>
                <c:pt idx="6">
                  <c:v>8034</c:v>
                </c:pt>
                <c:pt idx="7">
                  <c:v>7301</c:v>
                </c:pt>
                <c:pt idx="8">
                  <c:v>6821</c:v>
                </c:pt>
                <c:pt idx="9">
                  <c:v>6201</c:v>
                </c:pt>
                <c:pt idx="10">
                  <c:v>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  <c:pt idx="0">
                  <c:v>257265</c:v>
                </c:pt>
                <c:pt idx="1">
                  <c:v>130577</c:v>
                </c:pt>
                <c:pt idx="2">
                  <c:v>66384</c:v>
                </c:pt>
                <c:pt idx="3">
                  <c:v>46005</c:v>
                </c:pt>
                <c:pt idx="4">
                  <c:v>35587</c:v>
                </c:pt>
                <c:pt idx="5">
                  <c:v>29914</c:v>
                </c:pt>
                <c:pt idx="6">
                  <c:v>25229</c:v>
                </c:pt>
                <c:pt idx="7">
                  <c:v>23660</c:v>
                </c:pt>
                <c:pt idx="8">
                  <c:v>21062</c:v>
                </c:pt>
                <c:pt idx="9">
                  <c:v>20637</c:v>
                </c:pt>
                <c:pt idx="10">
                  <c:v>18311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1</c:v>
                </c:pt>
                <c:pt idx="1">
                  <c:v>1.9702200000000001</c:v>
                </c:pt>
                <c:pt idx="2">
                  <c:v>3.87541</c:v>
                </c:pt>
                <c:pt idx="3">
                  <c:v>5.5921099999999999</c:v>
                </c:pt>
                <c:pt idx="4">
                  <c:v>7.2291800000000004</c:v>
                </c:pt>
                <c:pt idx="5">
                  <c:v>8.6001499999999993</c:v>
                </c:pt>
                <c:pt idx="6">
                  <c:v>10.197190000000001</c:v>
                </c:pt>
                <c:pt idx="7">
                  <c:v>10.873419999999999</c:v>
                </c:pt>
                <c:pt idx="8">
                  <c:v>12.214650000000001</c:v>
                </c:pt>
                <c:pt idx="9">
                  <c:v>12.466200000000001</c:v>
                </c:pt>
                <c:pt idx="10">
                  <c:v>14.04975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1.9492700000000001</c:v>
                </c:pt>
                <c:pt idx="2">
                  <c:v>3.7886799999999998</c:v>
                </c:pt>
                <c:pt idx="3">
                  <c:v>5.4156300000000002</c:v>
                </c:pt>
                <c:pt idx="4">
                  <c:v>6.5149699999999999</c:v>
                </c:pt>
                <c:pt idx="5">
                  <c:v>7.49533</c:v>
                </c:pt>
                <c:pt idx="6">
                  <c:v>9.4797100000000007</c:v>
                </c:pt>
                <c:pt idx="7">
                  <c:v>10.43145</c:v>
                </c:pt>
                <c:pt idx="8">
                  <c:v>11.165520000000001</c:v>
                </c:pt>
                <c:pt idx="9">
                  <c:v>12.281890000000001</c:v>
                </c:pt>
                <c:pt idx="10">
                  <c:v>12.57596</c:v>
                </c:pt>
                <c:pt idx="11">
                  <c:v>11.124739999999999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1</c:v>
                </c:pt>
                <c:pt idx="1">
                  <c:v>0.98511000000000004</c:v>
                </c:pt>
                <c:pt idx="2">
                  <c:v>0.96885250000000001</c:v>
                </c:pt>
                <c:pt idx="3">
                  <c:v>0.93201833333333328</c:v>
                </c:pt>
                <c:pt idx="4">
                  <c:v>0.90364750000000005</c:v>
                </c:pt>
                <c:pt idx="5">
                  <c:v>0.86001499999999997</c:v>
                </c:pt>
                <c:pt idx="6">
                  <c:v>0.84976583333333344</c:v>
                </c:pt>
                <c:pt idx="7">
                  <c:v>0.77667285714285705</c:v>
                </c:pt>
                <c:pt idx="8">
                  <c:v>0.76341562500000004</c:v>
                </c:pt>
                <c:pt idx="9">
                  <c:v>0.69256666666666666</c:v>
                </c:pt>
                <c:pt idx="10">
                  <c:v>0.70248749999999993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0.97463500000000003</c:v>
                </c:pt>
                <c:pt idx="2">
                  <c:v>0.94716999999999996</c:v>
                </c:pt>
                <c:pt idx="3">
                  <c:v>0.90260499999999999</c:v>
                </c:pt>
                <c:pt idx="4">
                  <c:v>0.81437124999999999</c:v>
                </c:pt>
                <c:pt idx="5">
                  <c:v>0.749533</c:v>
                </c:pt>
                <c:pt idx="6">
                  <c:v>0.78997583333333343</c:v>
                </c:pt>
                <c:pt idx="7">
                  <c:v>0.74510357142857142</c:v>
                </c:pt>
                <c:pt idx="8">
                  <c:v>0.69784500000000005</c:v>
                </c:pt>
                <c:pt idx="9">
                  <c:v>0.68232722222222231</c:v>
                </c:pt>
                <c:pt idx="10">
                  <c:v>0.62879799999999997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58" workbookViewId="0">
      <selection activeCell="H77" sqref="H77:H78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2" t="s">
        <v>22</v>
      </c>
      <c r="B5" s="53"/>
      <c r="C5" s="53"/>
      <c r="D5" s="53"/>
      <c r="E5" s="54"/>
      <c r="G5" s="59" t="s">
        <v>3</v>
      </c>
      <c r="H5" s="59"/>
      <c r="S5" s="5"/>
      <c r="T5" s="14"/>
      <c r="U5" s="14"/>
      <c r="V5" s="14"/>
      <c r="W5" s="14"/>
    </row>
    <row r="6" spans="1:23" x14ac:dyDescent="0.25">
      <c r="A6" s="4" t="s">
        <v>4</v>
      </c>
      <c r="B6" s="56" t="s">
        <v>5</v>
      </c>
      <c r="C6" s="56"/>
      <c r="D6" s="56"/>
      <c r="E6" s="56"/>
      <c r="G6" s="59"/>
      <c r="H6" s="59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9"/>
      <c r="H7" s="59"/>
      <c r="S7" s="14"/>
      <c r="T7" s="14"/>
      <c r="U7" s="14"/>
      <c r="V7" s="14"/>
      <c r="W7" s="14"/>
    </row>
    <row r="8" spans="1:23" x14ac:dyDescent="0.25">
      <c r="A8" s="57" t="s">
        <v>11</v>
      </c>
      <c r="B8" s="57"/>
      <c r="C8" s="57"/>
      <c r="D8" s="57"/>
      <c r="E8" s="57"/>
      <c r="G8" s="59"/>
      <c r="H8" s="59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7" t="s">
        <v>12</v>
      </c>
      <c r="B12" s="57"/>
      <c r="C12" s="57"/>
      <c r="D12" s="57"/>
      <c r="E12" s="5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3"/>
      <c r="E15" s="10" t="s">
        <v>10</v>
      </c>
    </row>
    <row r="18" spans="1:9" x14ac:dyDescent="0.25">
      <c r="A18" s="64" t="s">
        <v>32</v>
      </c>
      <c r="B18" s="64"/>
      <c r="C18" s="64"/>
      <c r="D18" s="64"/>
      <c r="E18" s="64"/>
    </row>
    <row r="19" spans="1:9" x14ac:dyDescent="0.25">
      <c r="A19" s="4" t="s">
        <v>4</v>
      </c>
      <c r="B19" s="56" t="s">
        <v>5</v>
      </c>
      <c r="C19" s="56"/>
      <c r="D19" s="56"/>
      <c r="E19" s="5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7" t="s">
        <v>11</v>
      </c>
      <c r="B21" s="57"/>
      <c r="C21" s="57"/>
      <c r="D21" s="57"/>
      <c r="E21" s="5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8"/>
      <c r="I24" s="58"/>
    </row>
    <row r="25" spans="1:9" x14ac:dyDescent="0.25">
      <c r="A25" s="57" t="s">
        <v>12</v>
      </c>
      <c r="B25" s="57"/>
      <c r="C25" s="57"/>
      <c r="D25" s="57"/>
      <c r="E25" s="57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2" t="s">
        <v>70</v>
      </c>
      <c r="B31" s="53"/>
      <c r="C31" s="54"/>
      <c r="D31" s="55" t="s">
        <v>91</v>
      </c>
      <c r="E31" s="55" t="s">
        <v>91</v>
      </c>
      <c r="G31" s="20"/>
      <c r="H31" s="21"/>
      <c r="I31" s="18"/>
    </row>
    <row r="32" spans="1:9" x14ac:dyDescent="0.25">
      <c r="A32" s="4" t="s">
        <v>4</v>
      </c>
      <c r="B32" s="56" t="s">
        <v>5</v>
      </c>
      <c r="C32" s="56"/>
      <c r="D32" s="56"/>
      <c r="E32" s="56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7" t="s">
        <v>11</v>
      </c>
      <c r="B34" s="57"/>
      <c r="C34" s="57"/>
      <c r="D34" s="57"/>
      <c r="E34" s="57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7" t="s">
        <v>12</v>
      </c>
      <c r="B38" s="57"/>
      <c r="C38" s="57"/>
      <c r="D38" s="57"/>
      <c r="E38" s="57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0" t="s">
        <v>66</v>
      </c>
      <c r="C42" s="60"/>
      <c r="D42" s="60"/>
      <c r="E42" s="60"/>
    </row>
    <row r="44" spans="1:9" x14ac:dyDescent="0.25">
      <c r="A44" s="52" t="s">
        <v>82</v>
      </c>
      <c r="B44" s="53"/>
      <c r="C44" s="54"/>
      <c r="D44" s="55" t="s">
        <v>92</v>
      </c>
      <c r="E44" s="55" t="s">
        <v>91</v>
      </c>
    </row>
    <row r="45" spans="1:9" x14ac:dyDescent="0.25">
      <c r="A45" s="4" t="s">
        <v>4</v>
      </c>
      <c r="B45" s="56" t="s">
        <v>5</v>
      </c>
      <c r="C45" s="56"/>
      <c r="D45" s="56"/>
      <c r="E45" s="56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7" t="s">
        <v>11</v>
      </c>
      <c r="B47" s="57"/>
      <c r="C47" s="57"/>
      <c r="D47" s="57"/>
      <c r="E47" s="57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7" t="s">
        <v>12</v>
      </c>
      <c r="B51" s="57"/>
      <c r="C51" s="57"/>
      <c r="D51" s="57"/>
      <c r="E51" s="57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2" t="s">
        <v>104</v>
      </c>
      <c r="B57" s="53"/>
      <c r="C57" s="54"/>
      <c r="D57" s="55" t="s">
        <v>92</v>
      </c>
      <c r="E57" s="55" t="s">
        <v>91</v>
      </c>
    </row>
    <row r="58" spans="1:8" x14ac:dyDescent="0.25">
      <c r="A58" s="4" t="s">
        <v>4</v>
      </c>
      <c r="B58" s="56" t="s">
        <v>5</v>
      </c>
      <c r="C58" s="56"/>
      <c r="D58" s="56"/>
      <c r="E58" s="56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7" t="s">
        <v>11</v>
      </c>
      <c r="B60" s="57"/>
      <c r="C60" s="57"/>
      <c r="D60" s="57"/>
      <c r="E60" s="57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7" t="s">
        <v>12</v>
      </c>
      <c r="B64" s="57"/>
      <c r="C64" s="57"/>
      <c r="D64" s="57"/>
      <c r="E64" s="57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52" t="s">
        <v>108</v>
      </c>
      <c r="B70" s="53"/>
      <c r="C70" s="54"/>
      <c r="D70" s="55" t="s">
        <v>92</v>
      </c>
      <c r="E70" s="55" t="s">
        <v>91</v>
      </c>
    </row>
    <row r="71" spans="1:5" x14ac:dyDescent="0.25">
      <c r="A71" s="4" t="s">
        <v>4</v>
      </c>
      <c r="B71" s="56" t="s">
        <v>5</v>
      </c>
      <c r="C71" s="56"/>
      <c r="D71" s="56"/>
      <c r="E71" s="56"/>
    </row>
    <row r="72" spans="1:5" x14ac:dyDescent="0.25">
      <c r="A72" s="57" t="s">
        <v>109</v>
      </c>
      <c r="B72" s="57"/>
      <c r="C72" s="57"/>
      <c r="D72" s="57"/>
      <c r="E72" s="57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>
        <v>13</v>
      </c>
      <c r="C74" s="10">
        <v>117</v>
      </c>
      <c r="D74" s="10">
        <v>633</v>
      </c>
      <c r="E74" s="10">
        <v>1101</v>
      </c>
    </row>
    <row r="75" spans="1:5" x14ac:dyDescent="0.25">
      <c r="A75" s="3" t="s">
        <v>8</v>
      </c>
      <c r="B75" s="9">
        <v>50</v>
      </c>
      <c r="C75" s="10">
        <v>461</v>
      </c>
      <c r="D75" s="10">
        <v>4644</v>
      </c>
      <c r="E75" s="10">
        <v>11709</v>
      </c>
    </row>
    <row r="76" spans="1:5" x14ac:dyDescent="0.25">
      <c r="A76" s="3" t="s">
        <v>9</v>
      </c>
      <c r="B76" s="9">
        <v>64</v>
      </c>
      <c r="C76" s="10">
        <v>582</v>
      </c>
      <c r="D76" s="10">
        <v>5284</v>
      </c>
      <c r="E76" s="10">
        <v>12810</v>
      </c>
    </row>
    <row r="77" spans="1:5" x14ac:dyDescent="0.25">
      <c r="A77" s="57" t="s">
        <v>110</v>
      </c>
      <c r="B77" s="57"/>
      <c r="C77" s="57"/>
      <c r="D77" s="57"/>
      <c r="E77" s="57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>
        <v>1179</v>
      </c>
      <c r="C79" s="10">
        <v>2737</v>
      </c>
      <c r="D79" s="10">
        <v>4927</v>
      </c>
      <c r="E79" s="10">
        <v>9248</v>
      </c>
    </row>
    <row r="80" spans="1:5" x14ac:dyDescent="0.25">
      <c r="A80" s="3" t="s">
        <v>8</v>
      </c>
      <c r="B80" s="9">
        <v>459</v>
      </c>
      <c r="C80" s="10">
        <v>1310</v>
      </c>
      <c r="D80" s="10">
        <v>2689</v>
      </c>
      <c r="E80" s="10">
        <v>6665</v>
      </c>
    </row>
    <row r="81" spans="1:5" x14ac:dyDescent="0.25">
      <c r="A81" s="3" t="s">
        <v>9</v>
      </c>
      <c r="B81" s="9">
        <v>1638</v>
      </c>
      <c r="C81" s="10">
        <v>4048</v>
      </c>
      <c r="D81" s="10">
        <v>7636</v>
      </c>
      <c r="E81" s="10">
        <v>15914</v>
      </c>
    </row>
  </sheetData>
  <mergeCells count="32">
    <mergeCell ref="A70:C70"/>
    <mergeCell ref="D70:E70"/>
    <mergeCell ref="B71:E71"/>
    <mergeCell ref="A72:E72"/>
    <mergeCell ref="A77:E77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  <mergeCell ref="A57:C57"/>
    <mergeCell ref="D57:E57"/>
    <mergeCell ref="B58:E58"/>
    <mergeCell ref="A60:E60"/>
    <mergeCell ref="A64:E64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7"/>
  <sheetViews>
    <sheetView tabSelected="1" topLeftCell="A151" zoomScaleNormal="100" workbookViewId="0">
      <selection activeCell="D167" sqref="D167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64" t="s">
        <v>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55" t="s">
        <v>90</v>
      </c>
      <c r="N1" s="55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82" t="s">
        <v>85</v>
      </c>
      <c r="B2" s="77" t="s">
        <v>78</v>
      </c>
      <c r="C2" s="78"/>
      <c r="D2" s="79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82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82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82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82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82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82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82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82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82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82"/>
      <c r="B12" s="33" t="s">
        <v>86</v>
      </c>
      <c r="C12" s="80" t="s">
        <v>81</v>
      </c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1"/>
      <c r="O12" s="39"/>
      <c r="P12" s="23"/>
      <c r="Q12" s="23"/>
    </row>
    <row r="13" spans="1:26" ht="21.6" customHeight="1" x14ac:dyDescent="0.25">
      <c r="A13" s="82" t="s">
        <v>87</v>
      </c>
      <c r="B13" s="77" t="s">
        <v>78</v>
      </c>
      <c r="C13" s="78"/>
      <c r="D13" s="79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82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82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82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82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82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82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82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82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82"/>
      <c r="B22" s="83" t="s">
        <v>86</v>
      </c>
      <c r="C22" s="84" t="s">
        <v>88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5"/>
      <c r="O22" s="38"/>
    </row>
    <row r="23" spans="1:17" ht="21.6" customHeight="1" x14ac:dyDescent="0.2">
      <c r="A23" s="82"/>
      <c r="B23" s="83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5"/>
      <c r="O23" s="38"/>
    </row>
    <row r="24" spans="1:17" ht="21.6" customHeight="1" x14ac:dyDescent="0.25">
      <c r="A24" s="64" t="s">
        <v>89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55" t="s">
        <v>90</v>
      </c>
      <c r="N24" s="55"/>
      <c r="O24" s="38"/>
    </row>
    <row r="25" spans="1:17" ht="21.6" customHeight="1" x14ac:dyDescent="0.25">
      <c r="A25" s="68" t="s">
        <v>85</v>
      </c>
      <c r="B25" s="77" t="s">
        <v>78</v>
      </c>
      <c r="C25" s="78"/>
      <c r="D25" s="79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9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9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9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9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9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9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9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9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9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9"/>
      <c r="B35" s="77" t="s">
        <v>96</v>
      </c>
      <c r="C35" s="78"/>
      <c r="D35" s="79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9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9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9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9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9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9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9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9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9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9"/>
      <c r="B45" s="77" t="s">
        <v>97</v>
      </c>
      <c r="C45" s="78"/>
      <c r="D45" s="79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9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9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9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9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9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9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9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9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9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9"/>
      <c r="B55" s="46" t="s">
        <v>86</v>
      </c>
      <c r="C55" s="73" t="s">
        <v>102</v>
      </c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</row>
    <row r="56" spans="1:16" ht="21.6" customHeight="1" x14ac:dyDescent="0.25">
      <c r="A56" s="74" t="s">
        <v>103</v>
      </c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6"/>
      <c r="M56" s="55" t="s">
        <v>90</v>
      </c>
      <c r="N56" s="55"/>
      <c r="O56" s="30"/>
    </row>
    <row r="57" spans="1:16" ht="21.6" customHeight="1" x14ac:dyDescent="0.25">
      <c r="A57" s="68" t="s">
        <v>85</v>
      </c>
      <c r="B57" s="77" t="s">
        <v>78</v>
      </c>
      <c r="C57" s="78"/>
      <c r="D57" s="79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69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69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69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69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69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69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69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69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69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69"/>
      <c r="B67" s="77" t="s">
        <v>96</v>
      </c>
      <c r="C67" s="78"/>
      <c r="D67" s="79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69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69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69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69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69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69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69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69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69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69"/>
      <c r="B77" s="77" t="s">
        <v>97</v>
      </c>
      <c r="C77" s="78"/>
      <c r="D77" s="79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69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69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69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69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69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69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69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69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69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69"/>
      <c r="B87" s="46" t="s">
        <v>86</v>
      </c>
      <c r="C87" s="70" t="s">
        <v>106</v>
      </c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2"/>
    </row>
    <row r="88" spans="1:20" ht="21.6" customHeight="1" x14ac:dyDescent="0.3">
      <c r="A88" s="52" t="s">
        <v>107</v>
      </c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65" t="s">
        <v>112</v>
      </c>
      <c r="P88" s="66"/>
      <c r="Q88" s="66"/>
      <c r="R88" s="66"/>
      <c r="S88" s="66"/>
      <c r="T88" s="67"/>
    </row>
    <row r="89" spans="1:20" ht="21.6" customHeight="1" x14ac:dyDescent="0.25">
      <c r="A89" s="82" t="s">
        <v>85</v>
      </c>
      <c r="B89" s="77" t="s">
        <v>78</v>
      </c>
      <c r="C89" s="78"/>
      <c r="D89" s="78"/>
      <c r="E89" s="79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82"/>
      <c r="B90" s="42" t="s">
        <v>77</v>
      </c>
      <c r="C90" s="25" t="s">
        <v>80</v>
      </c>
      <c r="D90" s="25" t="s">
        <v>79</v>
      </c>
      <c r="E90" s="25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82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82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82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82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82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82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82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82"/>
      <c r="B98" s="15">
        <v>16</v>
      </c>
      <c r="C98" s="40">
        <v>461</v>
      </c>
      <c r="D98" s="24">
        <v>1700</v>
      </c>
      <c r="E98" s="24">
        <v>12964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82"/>
      <c r="B99" s="77" t="s">
        <v>96</v>
      </c>
      <c r="C99" s="78"/>
      <c r="D99" s="78"/>
      <c r="E99" s="79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82"/>
      <c r="B100" s="42" t="s">
        <v>77</v>
      </c>
      <c r="C100" s="25" t="s">
        <v>80</v>
      </c>
      <c r="D100" s="25" t="s">
        <v>79</v>
      </c>
      <c r="E100" s="25" t="s">
        <v>111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82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82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82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82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82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82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82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82"/>
      <c r="B108" s="42">
        <v>16</v>
      </c>
      <c r="C108" s="40">
        <f>ROUND(C91/C98,5)</f>
        <v>4.5314500000000004</v>
      </c>
      <c r="D108" s="40">
        <f>ROUND(D91/D98,5)</f>
        <v>5.4617599999999999</v>
      </c>
      <c r="E108" s="40">
        <f>ROUND(E91/E98,5)</f>
        <v>5.4314999999999998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82"/>
      <c r="B109" s="77" t="s">
        <v>97</v>
      </c>
      <c r="C109" s="78"/>
      <c r="D109" s="78"/>
      <c r="E109" s="79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82"/>
      <c r="B110" s="42" t="s">
        <v>77</v>
      </c>
      <c r="C110" s="25" t="s">
        <v>80</v>
      </c>
      <c r="D110" s="25" t="s">
        <v>79</v>
      </c>
      <c r="E110" s="25" t="s">
        <v>111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82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82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82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82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82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82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82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82"/>
      <c r="B118" s="42">
        <v>16</v>
      </c>
      <c r="C118" s="40">
        <f t="shared" si="4"/>
        <v>0.28322000000000003</v>
      </c>
      <c r="D118" s="40">
        <f t="shared" si="5"/>
        <v>0.34136</v>
      </c>
      <c r="E118" s="40">
        <f t="shared" si="6"/>
        <v>0.33946999999999999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82"/>
      <c r="B119" s="33" t="s">
        <v>86</v>
      </c>
      <c r="C119" s="81" t="s">
        <v>113</v>
      </c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7"/>
    </row>
    <row r="120" spans="1:29" ht="21.6" customHeight="1" x14ac:dyDescent="0.25">
      <c r="A120" s="88" t="s">
        <v>116</v>
      </c>
      <c r="B120" s="77" t="s">
        <v>78</v>
      </c>
      <c r="C120" s="78"/>
      <c r="D120" s="78"/>
      <c r="E120" s="79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89"/>
      <c r="B121" s="42" t="s">
        <v>77</v>
      </c>
      <c r="C121" s="25" t="s">
        <v>79</v>
      </c>
      <c r="D121" s="25" t="s">
        <v>111</v>
      </c>
      <c r="E121" s="25" t="s">
        <v>114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89"/>
      <c r="B122" s="15">
        <v>1</v>
      </c>
      <c r="C122" s="24">
        <v>9725</v>
      </c>
      <c r="D122" s="24">
        <v>76160</v>
      </c>
      <c r="E122" s="24">
        <v>257265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89"/>
      <c r="B123" s="15">
        <v>2</v>
      </c>
      <c r="C123" s="24">
        <v>5498</v>
      </c>
      <c r="D123" s="24">
        <v>39071</v>
      </c>
      <c r="E123" s="24">
        <v>130577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89"/>
      <c r="B124" s="15">
        <v>4</v>
      </c>
      <c r="C124" s="24">
        <v>3076</v>
      </c>
      <c r="D124" s="24">
        <v>20102</v>
      </c>
      <c r="E124" s="24">
        <v>66384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89"/>
      <c r="B125" s="15">
        <v>6</v>
      </c>
      <c r="C125" s="24">
        <v>2342</v>
      </c>
      <c r="D125" s="24">
        <v>14063</v>
      </c>
      <c r="E125" s="24">
        <v>46005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89"/>
      <c r="B126" s="15">
        <v>8</v>
      </c>
      <c r="C126" s="40">
        <v>1880</v>
      </c>
      <c r="D126" s="24">
        <v>11690</v>
      </c>
      <c r="E126" s="24">
        <v>35587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89"/>
      <c r="B127" s="15">
        <v>10</v>
      </c>
      <c r="C127" s="40">
        <v>1650</v>
      </c>
      <c r="D127" s="24">
        <v>10161</v>
      </c>
      <c r="E127" s="24">
        <v>29914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89"/>
      <c r="B128" s="15">
        <v>12</v>
      </c>
      <c r="C128" s="40">
        <v>1435</v>
      </c>
      <c r="D128" s="24">
        <v>8034</v>
      </c>
      <c r="E128" s="24">
        <v>25229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89"/>
      <c r="B129" s="15">
        <v>14</v>
      </c>
      <c r="C129" s="40">
        <v>1318</v>
      </c>
      <c r="D129" s="24">
        <v>7301</v>
      </c>
      <c r="E129" s="24">
        <v>23660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89"/>
      <c r="B130" s="15">
        <v>16</v>
      </c>
      <c r="C130" s="40">
        <v>1223</v>
      </c>
      <c r="D130" s="24">
        <v>6821</v>
      </c>
      <c r="E130" s="24">
        <v>21062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89"/>
      <c r="B131" s="15">
        <v>18</v>
      </c>
      <c r="C131" s="40">
        <v>1176</v>
      </c>
      <c r="D131" s="24">
        <v>6201</v>
      </c>
      <c r="E131" s="24">
        <v>20637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89"/>
      <c r="B132" s="15">
        <v>20</v>
      </c>
      <c r="C132" s="40">
        <v>1067</v>
      </c>
      <c r="D132" s="24">
        <v>6056</v>
      </c>
      <c r="E132" s="24">
        <v>18311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89"/>
      <c r="B133" s="49">
        <v>40</v>
      </c>
      <c r="C133" s="50">
        <v>1201</v>
      </c>
      <c r="D133" s="51">
        <v>6846</v>
      </c>
      <c r="E133" s="51">
        <v>20629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89"/>
      <c r="B134" s="77" t="s">
        <v>96</v>
      </c>
      <c r="C134" s="78"/>
      <c r="D134" s="78"/>
      <c r="E134" s="79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89"/>
      <c r="B135" s="42" t="s">
        <v>77</v>
      </c>
      <c r="C135" s="25" t="s">
        <v>79</v>
      </c>
      <c r="D135" s="25" t="s">
        <v>111</v>
      </c>
      <c r="E135" s="25" t="s">
        <v>114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89"/>
      <c r="B136" s="15">
        <v>1</v>
      </c>
      <c r="C136" s="40">
        <f>C122/C122</f>
        <v>1</v>
      </c>
      <c r="D136" s="40">
        <f>D122/D122</f>
        <v>1</v>
      </c>
      <c r="E136" s="40">
        <f>ROUND(E122/E122,5)</f>
        <v>1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89"/>
      <c r="B137" s="15">
        <v>2</v>
      </c>
      <c r="C137" s="40">
        <f>ROUND(C122/C123,5)</f>
        <v>1.7688299999999999</v>
      </c>
      <c r="D137" s="40">
        <f>ROUND(D122/D123,5)</f>
        <v>1.9492700000000001</v>
      </c>
      <c r="E137" s="40">
        <f>ROUND(E122/E123,5)</f>
        <v>1.9702200000000001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89"/>
      <c r="B138" s="15">
        <v>4</v>
      </c>
      <c r="C138" s="40">
        <f>ROUND(C122/C124,5)</f>
        <v>3.1615700000000002</v>
      </c>
      <c r="D138" s="40">
        <f>ROUND(D122/D124,5)</f>
        <v>3.7886799999999998</v>
      </c>
      <c r="E138" s="40">
        <f>ROUND(E122/E124,5)</f>
        <v>3.87541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89"/>
      <c r="B139" s="15">
        <v>6</v>
      </c>
      <c r="C139" s="40">
        <f>ROUND(C122/C125,5)</f>
        <v>4.1524299999999998</v>
      </c>
      <c r="D139" s="40">
        <f>ROUND(D122/D125,5)</f>
        <v>5.4156300000000002</v>
      </c>
      <c r="E139" s="40">
        <f>ROUND(E122/E125,5)</f>
        <v>5.5921099999999999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89"/>
      <c r="B140" s="15">
        <v>8</v>
      </c>
      <c r="C140" s="40">
        <f>ROUND(C122/C126,5)</f>
        <v>5.1728699999999996</v>
      </c>
      <c r="D140" s="40">
        <f>ROUND(D122/D126,5)</f>
        <v>6.5149699999999999</v>
      </c>
      <c r="E140" s="40">
        <f>ROUND(E122/E126,5)</f>
        <v>7.2291800000000004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89"/>
      <c r="B141" s="15">
        <v>10</v>
      </c>
      <c r="C141" s="40">
        <f>ROUND(C122/C127,5)</f>
        <v>5.8939399999999997</v>
      </c>
      <c r="D141" s="40">
        <f>ROUND(D122/D127,5)</f>
        <v>7.49533</v>
      </c>
      <c r="E141" s="40">
        <f>ROUND(E122/E127,5)</f>
        <v>8.6001499999999993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89"/>
      <c r="B142" s="15">
        <v>12</v>
      </c>
      <c r="C142" s="40">
        <f>ROUND(C122/C128,5)</f>
        <v>6.7770000000000001</v>
      </c>
      <c r="D142" s="40">
        <f>ROUND(D122/D128,5)</f>
        <v>9.4797100000000007</v>
      </c>
      <c r="E142" s="40">
        <f>ROUND(E122/E128,5)</f>
        <v>10.197190000000001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89"/>
      <c r="B143" s="15">
        <v>14</v>
      </c>
      <c r="C143" s="40">
        <f t="shared" ref="C143:E147" si="7">ROUND(C$122/C129,5)</f>
        <v>7.3785999999999996</v>
      </c>
      <c r="D143" s="40">
        <f t="shared" si="7"/>
        <v>10.43145</v>
      </c>
      <c r="E143" s="40">
        <f t="shared" si="7"/>
        <v>10.873419999999999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89"/>
      <c r="B144" s="15">
        <v>16</v>
      </c>
      <c r="C144" s="40">
        <f t="shared" si="7"/>
        <v>7.9517600000000002</v>
      </c>
      <c r="D144" s="40">
        <f t="shared" si="7"/>
        <v>11.165520000000001</v>
      </c>
      <c r="E144" s="40">
        <f t="shared" si="7"/>
        <v>12.214650000000001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89"/>
      <c r="B145" s="15">
        <v>18</v>
      </c>
      <c r="C145" s="40">
        <f t="shared" si="7"/>
        <v>8.2695600000000002</v>
      </c>
      <c r="D145" s="40">
        <f t="shared" si="7"/>
        <v>12.281890000000001</v>
      </c>
      <c r="E145" s="40">
        <f t="shared" si="7"/>
        <v>12.466200000000001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89"/>
      <c r="B146" s="15">
        <v>20</v>
      </c>
      <c r="C146" s="40">
        <f t="shared" si="7"/>
        <v>9.1143400000000003</v>
      </c>
      <c r="D146" s="40">
        <f t="shared" si="7"/>
        <v>12.57596</v>
      </c>
      <c r="E146" s="40">
        <f t="shared" si="7"/>
        <v>14.04975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89"/>
      <c r="B147" s="49">
        <v>40</v>
      </c>
      <c r="C147" s="50">
        <f t="shared" si="7"/>
        <v>8.0974199999999996</v>
      </c>
      <c r="D147" s="50">
        <f t="shared" si="7"/>
        <v>11.124739999999999</v>
      </c>
      <c r="E147" s="50">
        <f t="shared" si="7"/>
        <v>12.47104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89"/>
      <c r="B148" s="77" t="s">
        <v>97</v>
      </c>
      <c r="C148" s="78"/>
      <c r="D148" s="78"/>
      <c r="E148" s="79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89"/>
      <c r="B149" s="42" t="s">
        <v>77</v>
      </c>
      <c r="C149" s="25" t="s">
        <v>79</v>
      </c>
      <c r="D149" s="25" t="s">
        <v>111</v>
      </c>
      <c r="E149" s="25" t="s">
        <v>114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89"/>
      <c r="B150" s="15">
        <v>1</v>
      </c>
      <c r="C150" s="40">
        <f t="shared" ref="C150:C161" si="8">ROUND(C136/$B136,5)</f>
        <v>1</v>
      </c>
      <c r="D150" s="40">
        <f t="shared" ref="D150:E154" si="9">D136/$B136</f>
        <v>1</v>
      </c>
      <c r="E150" s="40">
        <f t="shared" si="9"/>
        <v>1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89"/>
      <c r="B151" s="15">
        <v>2</v>
      </c>
      <c r="C151" s="40">
        <f t="shared" si="8"/>
        <v>0.88441999999999998</v>
      </c>
      <c r="D151" s="40">
        <f t="shared" si="9"/>
        <v>0.97463500000000003</v>
      </c>
      <c r="E151" s="40">
        <f t="shared" si="9"/>
        <v>0.98511000000000004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89"/>
      <c r="B152" s="15">
        <v>4</v>
      </c>
      <c r="C152" s="40">
        <f t="shared" si="8"/>
        <v>0.79039000000000004</v>
      </c>
      <c r="D152" s="40">
        <f t="shared" si="9"/>
        <v>0.94716999999999996</v>
      </c>
      <c r="E152" s="40">
        <f t="shared" si="9"/>
        <v>0.96885250000000001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89"/>
      <c r="B153" s="15">
        <v>6</v>
      </c>
      <c r="C153" s="40">
        <f t="shared" si="8"/>
        <v>0.69206999999999996</v>
      </c>
      <c r="D153" s="40">
        <f t="shared" si="9"/>
        <v>0.90260499999999999</v>
      </c>
      <c r="E153" s="40">
        <f t="shared" si="9"/>
        <v>0.93201833333333328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89"/>
      <c r="B154" s="15">
        <v>8</v>
      </c>
      <c r="C154" s="40">
        <f t="shared" si="8"/>
        <v>0.64661000000000002</v>
      </c>
      <c r="D154" s="40">
        <f t="shared" si="9"/>
        <v>0.81437124999999999</v>
      </c>
      <c r="E154" s="40">
        <f t="shared" si="9"/>
        <v>0.90364750000000005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89"/>
      <c r="B155" s="15">
        <v>10</v>
      </c>
      <c r="C155" s="40">
        <f t="shared" si="8"/>
        <v>0.58938999999999997</v>
      </c>
      <c r="D155" s="40">
        <f t="shared" ref="D155:E161" si="10">D141/$B141</f>
        <v>0.749533</v>
      </c>
      <c r="E155" s="40">
        <f t="shared" si="10"/>
        <v>0.86001499999999997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89"/>
      <c r="B156" s="15">
        <v>12</v>
      </c>
      <c r="C156" s="40">
        <f t="shared" si="8"/>
        <v>0.56474999999999997</v>
      </c>
      <c r="D156" s="40">
        <f t="shared" si="10"/>
        <v>0.78997583333333343</v>
      </c>
      <c r="E156" s="40">
        <f t="shared" si="10"/>
        <v>0.84976583333333344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89"/>
      <c r="B157" s="15">
        <v>14</v>
      </c>
      <c r="C157" s="40">
        <f t="shared" si="8"/>
        <v>0.52703999999999995</v>
      </c>
      <c r="D157" s="40">
        <f t="shared" si="10"/>
        <v>0.74510357142857142</v>
      </c>
      <c r="E157" s="40">
        <f t="shared" si="10"/>
        <v>0.77667285714285705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89"/>
      <c r="B158" s="15">
        <v>16</v>
      </c>
      <c r="C158" s="40">
        <f t="shared" si="8"/>
        <v>0.49698999999999999</v>
      </c>
      <c r="D158" s="40">
        <f t="shared" si="10"/>
        <v>0.69784500000000005</v>
      </c>
      <c r="E158" s="40">
        <f t="shared" si="10"/>
        <v>0.76341562500000004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89"/>
      <c r="B159" s="15">
        <v>18</v>
      </c>
      <c r="C159" s="40">
        <f t="shared" si="8"/>
        <v>0.45942</v>
      </c>
      <c r="D159" s="40">
        <f t="shared" si="10"/>
        <v>0.68232722222222231</v>
      </c>
      <c r="E159" s="40">
        <f t="shared" si="10"/>
        <v>0.69256666666666666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89"/>
      <c r="B160" s="15">
        <v>20</v>
      </c>
      <c r="C160" s="40">
        <f t="shared" si="8"/>
        <v>0.45572000000000001</v>
      </c>
      <c r="D160" s="40">
        <f t="shared" si="10"/>
        <v>0.62879799999999997</v>
      </c>
      <c r="E160" s="40">
        <f t="shared" si="10"/>
        <v>0.70248749999999993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89"/>
      <c r="B161" s="49">
        <v>40</v>
      </c>
      <c r="C161" s="50">
        <f t="shared" si="8"/>
        <v>0.20244000000000001</v>
      </c>
      <c r="D161" s="50">
        <f t="shared" si="10"/>
        <v>0.27811849999999999</v>
      </c>
      <c r="E161" s="50">
        <f t="shared" si="10"/>
        <v>0.311776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89"/>
      <c r="B162" s="33" t="s">
        <v>86</v>
      </c>
      <c r="C162" s="81" t="s">
        <v>115</v>
      </c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7"/>
    </row>
    <row r="165" spans="1:29" ht="21.6" customHeight="1" x14ac:dyDescent="0.2">
      <c r="B165" s="26" t="s">
        <v>117</v>
      </c>
    </row>
    <row r="167" spans="1:29" ht="21.6" customHeight="1" x14ac:dyDescent="0.2">
      <c r="B167" s="26" t="s">
        <v>118</v>
      </c>
    </row>
  </sheetData>
  <mergeCells count="35">
    <mergeCell ref="B148:E148"/>
    <mergeCell ref="B134:E134"/>
    <mergeCell ref="B120:E120"/>
    <mergeCell ref="A120:A162"/>
    <mergeCell ref="C162:AC162"/>
    <mergeCell ref="A89:A119"/>
    <mergeCell ref="C119:T119"/>
    <mergeCell ref="B89:E89"/>
    <mergeCell ref="B99:E99"/>
    <mergeCell ref="B109:E109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workbookViewId="0">
      <selection activeCell="R11" sqref="R11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2026-03-19T14:22:10Z</dcterms:modified>
</cp:coreProperties>
</file>